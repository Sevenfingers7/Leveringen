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ersons/person.xml" ContentType="application/vnd.ms-excel.perso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5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4665" yWindow="2490" windowWidth="21600" windowHeight="12645" tabRatio="600" firstSheet="0" activeTab="4" autoFilterDateGrouping="1"/>
  </bookViews>
  <sheets>
    <sheet xmlns:r="http://schemas.openxmlformats.org/officeDocument/2006/relationships" name="Orders" sheetId="1" state="visible" r:id="rId1"/>
    <sheet xmlns:r="http://schemas.openxmlformats.org/officeDocument/2006/relationships" name="bestellingen" sheetId="2" state="visible" r:id="rId2"/>
    <sheet xmlns:r="http://schemas.openxmlformats.org/officeDocument/2006/relationships" name="Data" sheetId="3" state="visible" r:id="rId3"/>
    <sheet xmlns:r="http://schemas.openxmlformats.org/officeDocument/2006/relationships" name="archief" sheetId="4" state="visible" r:id="rId4"/>
    <sheet xmlns:r="http://schemas.openxmlformats.org/officeDocument/2006/relationships" name="Start" sheetId="5" state="visible" r:id="rId5"/>
  </sheets>
  <definedNames>
    <definedName name="_xlnm._FilterDatabase" localSheetId="0" hidden="1">'Orders'!$A$1:$J$25</definedName>
    <definedName name="_xlnm.Print_Titles" localSheetId="0">'Orders'!$1:$1</definedName>
    <definedName name="_xlnm._FilterDatabase" localSheetId="1" hidden="1">'bestellingen'!$A$1:$N$117</definedName>
    <definedName name="_xlnm.Print_Titles" localSheetId="1">'bestellingen'!$1:$1</definedName>
    <definedName name="_xlnm._FilterDatabase" localSheetId="2" hidden="1">'Data'!$A$1:$C$7</definedName>
    <definedName name="_xlnm.Print_Titles" localSheetId="2">'Data'!$1:$1</definedName>
    <definedName name="_xlnm._FilterDatabase" localSheetId="3" hidden="1">'archief'!$A$1:$G$85</definedName>
    <definedName name="_xlnm.Print_Titles" localSheetId="3">'archief'!$1:$1</definedName>
    <definedName name="_xlnm.Print_Area" localSheetId="4">'Start'!$A$1:$L$37</definedName>
  </definedNames>
  <calcPr calcId="191029" fullCalcOnLoad="1"/>
</workbook>
</file>

<file path=xl/sharedStrings.xml><?xml version="1.0" encoding="utf-8"?>
<sst xmlns="http://schemas.openxmlformats.org/spreadsheetml/2006/main" count="1253" uniqueCount="305">
  <si>
    <t>Klantorder</t>
  </si>
  <si>
    <t>Klantnaam</t>
  </si>
  <si>
    <t>Orderbehandelaar</t>
  </si>
  <si>
    <t>Bestelling</t>
  </si>
  <si>
    <t>Leverancier</t>
  </si>
  <si>
    <t>Levertijd</t>
  </si>
  <si>
    <t>Opmerking</t>
  </si>
  <si>
    <t>Binnen</t>
  </si>
  <si>
    <t>260215513</t>
  </si>
  <si>
    <t>262313014</t>
  </si>
  <si>
    <t>262312994</t>
  </si>
  <si>
    <t>260215271</t>
  </si>
  <si>
    <t>Eggerding</t>
  </si>
  <si>
    <t>ATL</t>
  </si>
  <si>
    <t>260215595</t>
  </si>
  <si>
    <t>262313037</t>
  </si>
  <si>
    <t>262313103</t>
  </si>
  <si>
    <t>260215693</t>
  </si>
  <si>
    <t>N.V. HVC</t>
  </si>
  <si>
    <t>260215726</t>
  </si>
  <si>
    <t>Industriele Diensten Heino BV</t>
  </si>
  <si>
    <t>262313113</t>
  </si>
  <si>
    <t>?</t>
  </si>
  <si>
    <t>Datum</t>
  </si>
  <si>
    <t>Opmerkingen</t>
  </si>
  <si>
    <t>Vervaldatum</t>
  </si>
  <si>
    <t>Documentstatus</t>
  </si>
  <si>
    <t>Atlas Copco Airpower NV</t>
  </si>
  <si>
    <t>Gebaseerd op Klantorders 260215001.</t>
  </si>
  <si>
    <t>van Wees, M.</t>
  </si>
  <si>
    <t>Afgesloten</t>
  </si>
  <si>
    <t>Technische Unie B.V.</t>
  </si>
  <si>
    <t>Gebaseerd op Klantorders 260215608.</t>
  </si>
  <si>
    <t>Friedrich Picard GmbH &amp; Co.KG</t>
  </si>
  <si>
    <t>Gebaseerd op Klantorders 260215595.</t>
  </si>
  <si>
    <t>Gebaseerd op Klantorders 260215451.</t>
  </si>
  <si>
    <t>Snijder Filtertechniek B.V.</t>
  </si>
  <si>
    <t>Gebaseerd op Klantorders 260215502.</t>
  </si>
  <si>
    <t>Gebaseerd op Klantorders 260215467.</t>
  </si>
  <si>
    <t>Gebaseerd op Klantorders 260215271.</t>
  </si>
  <si>
    <t>Mehrer Compression GmbH</t>
  </si>
  <si>
    <t>Gebaseerd op Klantorders 260215321. Delen zijn besteld op inkoop order 262312915. Vanwege een te klein order bedrag.</t>
  </si>
  <si>
    <t>Edmac Europe NV</t>
  </si>
  <si>
    <t>Gebaseerd op Klantorders 260215214.</t>
  </si>
  <si>
    <t>Particle Technics BVBA</t>
  </si>
  <si>
    <t>Gebaseerd op Klantorders 260215174.</t>
  </si>
  <si>
    <t>Y</t>
  </si>
  <si>
    <t>Gebaseerd op Klantorders 260214962.</t>
  </si>
  <si>
    <t>Open</t>
  </si>
  <si>
    <t>Gebaseerd op Klantorders 260215768.</t>
  </si>
  <si>
    <t>Parker Hannifin B.V.</t>
  </si>
  <si>
    <t>Gebaseerd op Klantorders 260215726.</t>
  </si>
  <si>
    <t>Gebaseerd op Klantorders 260215693.</t>
  </si>
  <si>
    <t>Gebaseerd op Klantorders 260215663.</t>
  </si>
  <si>
    <t>Gebaseerd op Klantorders 260215613.</t>
  </si>
  <si>
    <t>Dalgakiran Kompresor San. VE Tic.LTD</t>
  </si>
  <si>
    <t>Gebaseerd op Klantorders 260215513.</t>
  </si>
  <si>
    <t>Gebaseerd op Klantorders 260215468.</t>
  </si>
  <si>
    <t>Itsme BV</t>
  </si>
  <si>
    <t>#</t>
  </si>
  <si>
    <t>Bestelnummer</t>
  </si>
  <si>
    <t>Leveranciersnummer</t>
  </si>
  <si>
    <t>Totaalbedrag</t>
  </si>
  <si>
    <t>Geannuleerd</t>
  </si>
  <si>
    <t>Sjun</t>
  </si>
  <si>
    <t>262313080</t>
  </si>
  <si>
    <t>Naam</t>
  </si>
  <si>
    <t>Email</t>
  </si>
  <si>
    <t>wesley.hudepohl@geveke.com</t>
  </si>
  <si>
    <t>arno.kempe@geveke.com</t>
  </si>
  <si>
    <t>sjun.dewit@geveke.com</t>
  </si>
  <si>
    <t>eric.buissink@geveke.com</t>
  </si>
  <si>
    <t>robert.stuiver@geveke.com</t>
  </si>
  <si>
    <t>Wesley</t>
  </si>
  <si>
    <t>Arno</t>
  </si>
  <si>
    <t>Eric</t>
  </si>
  <si>
    <t>Robert</t>
  </si>
  <si>
    <t>260215468</t>
  </si>
  <si>
    <t>262312996</t>
  </si>
  <si>
    <t>260215663</t>
  </si>
  <si>
    <t>Verkoopmedewerker</t>
  </si>
  <si>
    <t>Inkoopmedewerker</t>
  </si>
  <si>
    <t>Geveke Persluchttechniek</t>
  </si>
  <si>
    <t>-Geen verkoopmedewerker/koper-</t>
  </si>
  <si>
    <t>AEB Exploitatie B.V.</t>
  </si>
  <si>
    <t>NAM B.V. T.a.v. Accounts Payable</t>
  </si>
  <si>
    <t>Hudepohl W.</t>
  </si>
  <si>
    <t>Stuiver R.</t>
  </si>
  <si>
    <t>Van Beest B.V.</t>
  </si>
  <si>
    <t>Kempe A.</t>
  </si>
  <si>
    <t>Hobrand B.V.</t>
  </si>
  <si>
    <t>HKS Scrap Metals B.V.</t>
  </si>
  <si>
    <t>ESD-SIC B.V.</t>
  </si>
  <si>
    <t>Grasdrogerij Hartog B.V.</t>
  </si>
  <si>
    <t>Wit S. de</t>
  </si>
  <si>
    <t>Eggerding B.V.</t>
  </si>
  <si>
    <t>Steadvale Air Systems Ltd</t>
  </si>
  <si>
    <t>Konings Drinks B.V.</t>
  </si>
  <si>
    <t>Ebert HERA B.V.</t>
  </si>
  <si>
    <t>Esso Petroleum Company, Limited</t>
  </si>
  <si>
    <t>Acta Trio Milieu &amp; Veiligheid</t>
  </si>
  <si>
    <t>Buissink E.</t>
  </si>
  <si>
    <t>260215793</t>
  </si>
  <si>
    <t>262313183</t>
  </si>
  <si>
    <t>Gebaseerd op Klantorders 260215793.</t>
  </si>
  <si>
    <t>Veolia Industriediensten B.V.</t>
  </si>
  <si>
    <t>Gebaseerd op Klantorders 260215966.</t>
  </si>
  <si>
    <t>Intervet International B.V.</t>
  </si>
  <si>
    <t>St. Rivas Zorggroep</t>
  </si>
  <si>
    <t>PO opvolgen</t>
  </si>
  <si>
    <t>Gebaseerd op Klantorders 260216059.</t>
  </si>
  <si>
    <t>Tenaz Energy Netherlands B.V.</t>
  </si>
  <si>
    <t>262313274</t>
  </si>
  <si>
    <t>260215000</t>
  </si>
  <si>
    <t>262313275</t>
  </si>
  <si>
    <t>260216052</t>
  </si>
  <si>
    <t>Gebaseerd op Klantorders 260216052.</t>
  </si>
  <si>
    <t>HBS Rail B.V.</t>
  </si>
  <si>
    <t>Gebaseerd op Klantorders 260215000.</t>
  </si>
  <si>
    <t>MTH machine techniek</t>
  </si>
  <si>
    <t>260215955</t>
  </si>
  <si>
    <t>Gebaseerd op Klantorders 260215955.</t>
  </si>
  <si>
    <t>National Marine Suppliers B.V.</t>
  </si>
  <si>
    <t>https://ac-p-ascintranet.azurewebsites.net/OrderCaseTracking/ReturnOrder?orderNr=62313275</t>
  </si>
  <si>
    <t>Gebaseerd op Klantorders 260213802.</t>
  </si>
  <si>
    <t>Cargill Bioindustrial B.V.</t>
  </si>
  <si>
    <t>Gebaseerd op Klantorders 260216103.</t>
  </si>
  <si>
    <t>RET N.V.</t>
  </si>
  <si>
    <t>https://ac-p-ascintranet.azurewebsites.net/OrderCaseTracking/ReturnOrder?orderNr=62313299</t>
  </si>
  <si>
    <t>260216103</t>
  </si>
  <si>
    <t>262313297</t>
  </si>
  <si>
    <t>https://tracking.essers.com/B2B/?FUNCTION=publicweborder&amp;PROFILEID=ESSERSWEBPERMISSION194325&amp;PROFILE=T%26T+EDMAC&amp;BILLING_REFERENCE=4156300500</t>
  </si>
  <si>
    <t>Gebaseerd op Klantorders 260216106.</t>
  </si>
  <si>
    <t>Elis Nederland B.V.</t>
  </si>
  <si>
    <t>Vrieling R.H.</t>
  </si>
  <si>
    <t>https://ac-p-ascintranet.azurewebsites.net/OrderCaseTracking/ReturnOrder?orderNr=62313331</t>
  </si>
  <si>
    <t>https://ac-p-ascintranet.azurewebsites.net/OrderCaseTracking/ReturnOrder?orderNr=62313325</t>
  </si>
  <si>
    <t>niet geleverd doordat het afleveradres niet op de EDI was meegekomen</t>
  </si>
  <si>
    <t>https://ac-p-ascintranet.azurewebsites.net/OrderCaseTracking/ReturnOrder?orderNr=62313343</t>
  </si>
  <si>
    <t>Eco International S.r.l.</t>
  </si>
  <si>
    <t>Gebaseerd op Klantorders 260216157.</t>
  </si>
  <si>
    <t>Ardagh Glass Moerdijk B.V.</t>
  </si>
  <si>
    <t>EDI Send</t>
  </si>
  <si>
    <t>De wit S.</t>
  </si>
  <si>
    <t>Gebaseerd op Klantorders 260216200.</t>
  </si>
  <si>
    <t>Eni Energy Netherlands B.V.</t>
  </si>
  <si>
    <t>Gebaseerd op Klantorders 260216240.</t>
  </si>
  <si>
    <t>Gebaseerd op Klantorders 260216264.</t>
  </si>
  <si>
    <t>Gebaseerd op Klantorders 260216268.</t>
  </si>
  <si>
    <t>https://ac-p-ascintranet.azurewebsites.net/OrderCaseTracking/ReturnOrder?orderNr=62313407</t>
  </si>
  <si>
    <t>https://ac-p-ascintranet.azurewebsites.net/OrderCaseTracking/ReturnOrder?orderNr=62313417</t>
  </si>
  <si>
    <t>Gebaseerd op Klantorders 260210911.</t>
  </si>
  <si>
    <t>Gardner Denver Ltd</t>
  </si>
  <si>
    <t>https://ac-p-ascintranet.azurewebsites.net/OrderCaseTracking/ReturnOrder?orderNr=62313450</t>
  </si>
  <si>
    <t>Gebaseerd op Klantorders 260216398.</t>
  </si>
  <si>
    <t>Stolthaven Moerdijk B.V.</t>
  </si>
  <si>
    <t>Geveke Service Centre</t>
  </si>
  <si>
    <t>Gebaseerd op Klantorders 260216404.</t>
  </si>
  <si>
    <t>Ministerie van Defensie FABK, Finan. Service Centrum</t>
  </si>
  <si>
    <t>Gebaseerd op Klantorders 260216442.</t>
  </si>
  <si>
    <t>It's Me</t>
  </si>
  <si>
    <t>Gebaseerd op Klantorders 260216457.</t>
  </si>
  <si>
    <t>Lamb-Weston</t>
  </si>
  <si>
    <t>https://ac-p-ascintranet.azurewebsites.net/OrderCaseTracking/ReturnOrder?orderNr=62313476</t>
  </si>
  <si>
    <t>Gebaseerd op Klantorders 260216577.</t>
  </si>
  <si>
    <t>Teunis Industrietechniek B.V.</t>
  </si>
  <si>
    <t>https://ac-p-ascintranet.azurewebsites.net/OrderCaseTracking/ReturnOrder?orderNr=62313502</t>
  </si>
  <si>
    <t>Gebaseerd op Klantorders 260216585.</t>
  </si>
  <si>
    <t>Matthijs B.V.</t>
  </si>
  <si>
    <t>Gebaseerd op Klantorders 260214572.</t>
  </si>
  <si>
    <t>Schulte &amp; Lestraden B.V.</t>
  </si>
  <si>
    <t>Gebaseerd op Klantorders 260216456.</t>
  </si>
  <si>
    <t>European Aerosols</t>
  </si>
  <si>
    <t>https://ac-p-ascintranet.azurewebsites.net/OrderCaseTracking/ReturnOrder?orderNr=62313510</t>
  </si>
  <si>
    <t>Gebaseerd op Klantorders 260216591.</t>
  </si>
  <si>
    <t>Corlido Project Supply BV</t>
  </si>
  <si>
    <t>Gebaseerd op Klantorders 260216590.</t>
  </si>
  <si>
    <t>Gebaseerd op Klantorders 260216589.</t>
  </si>
  <si>
    <t>https://ac-p-ascintranet.azurewebsites.net/OrderCaseTracking/ReturnOrder?orderNr=62313555</t>
  </si>
  <si>
    <t>https://ac-p-ascintranet.azurewebsites.net/OrderCaseTracking/ReturnOrder?orderNr=62313554</t>
  </si>
  <si>
    <t>https://ac-p-ascintranet.azurewebsites.net/OrderCaseTracking/ReturnOrder?orderNr=62313553</t>
  </si>
  <si>
    <t>Gebaseerd op Klantorders 260216638.</t>
  </si>
  <si>
    <t>W. Heemskerk B.V.</t>
  </si>
  <si>
    <t>Gebaseerd op Klantorders 260216759.</t>
  </si>
  <si>
    <t>Ketjen Netherlands B.V.</t>
  </si>
  <si>
    <t>https://ac-p-ascintranet.azurewebsites.net/OrderCaseTracking/ReturnOrder?orderNr=62313589</t>
  </si>
  <si>
    <t>Gebaseerd op Klantorders 260216740.</t>
  </si>
  <si>
    <t>https://ac-p-ascintranet.azurewebsites.net/OrderCaseTracking/ReturnOrder?orderNr=62313600</t>
  </si>
  <si>
    <t>Gebaseerd op Klantorders 260216776.</t>
  </si>
  <si>
    <t>Exolum Amsterdam B.V.</t>
  </si>
  <si>
    <t>https://ac-p-ascintranet.azurewebsites.net/OrderCaseTracking/ReturnOrder?orderNr=62313619</t>
  </si>
  <si>
    <t>GMT International BV</t>
  </si>
  <si>
    <t>Factair Ltd</t>
  </si>
  <si>
    <t>Gebaseerd op Klantorders 260216875.</t>
  </si>
  <si>
    <t>Alert B.V. Veiligheidsmiddelen &amp; Services</t>
  </si>
  <si>
    <t>Atlas Copco Compressors Ned</t>
  </si>
  <si>
    <t>https://ac-p-ascintranet.azurewebsites.net/OrderCaseTracking/ReturnOrder?orderNr=62313686</t>
  </si>
  <si>
    <t>Gebaseerd op Klantorders 260216938.</t>
  </si>
  <si>
    <t>MTEC B.V.</t>
  </si>
  <si>
    <t>260212078 </t>
  </si>
  <si>
    <t>Aerzen Nederland B.V.</t>
  </si>
  <si>
    <t>Gebaseerd op Klantorders 260212076.</t>
  </si>
  <si>
    <t>RWE Eemshaven Holding II  B.V.</t>
  </si>
  <si>
    <t>Gebaseerd op Klantorders 260216959.</t>
  </si>
  <si>
    <t>Sonneborn Refined Product B.V.</t>
  </si>
  <si>
    <t>Midland Diving Equipment Ltd</t>
  </si>
  <si>
    <t>Gebaseerd op Klantorders 260216953.</t>
  </si>
  <si>
    <t>Gebaseerd op Klantorders 260216987.</t>
  </si>
  <si>
    <t>Royal Huisman Shipyard B.V.</t>
  </si>
  <si>
    <t>Gebaseerd op Klantorders 260217032.</t>
  </si>
  <si>
    <t>MSN Aftersales</t>
  </si>
  <si>
    <t>https://www.dhl.com/nl-nl/home/traceren.html?tracking-id=51%203985%201603&amp;submit=1</t>
  </si>
  <si>
    <t>S.W. Hettema &amp; Zn</t>
  </si>
  <si>
    <t>Gebaseerd op Klantorders 260217051.</t>
  </si>
  <si>
    <t>https://ac-p-ascintranet.azurewebsites.net/OrderCaseTracking/ReturnOrder?orderNr=62313779</t>
  </si>
  <si>
    <t>Gebaseerd op Klantorders 260216416.</t>
  </si>
  <si>
    <t>BFL Bewehrung- und Fertigteilewerk Laar Gmbh</t>
  </si>
  <si>
    <t>https://ac-p-ascintranet.azurewebsites.net/OrderCaseTracking/ReturnOrder?orderNr=62313789</t>
  </si>
  <si>
    <t>Gebaseerd op Klantorders 260216948.</t>
  </si>
  <si>
    <t>AOC Nederland B.V. / 3410</t>
  </si>
  <si>
    <t>https://ac-p-ascintranet.azurewebsites.net/OrderCaseTracking/ReturnOrder?orderNr=62313794</t>
  </si>
  <si>
    <t>Gebaseerd op Klantorders 260217133.</t>
  </si>
  <si>
    <t>GVB Exploitatie B.V.</t>
  </si>
  <si>
    <t>Gebaseerd op Klantorders 260216399.</t>
  </si>
  <si>
    <t>Viterra Botlek B.V.</t>
  </si>
  <si>
    <t>Gebaseerd op Klantorders 260217209.</t>
  </si>
  <si>
    <t>Gebaseerd op Klantorders 260217227.</t>
  </si>
  <si>
    <t>Mccain Foods Holland B.V.</t>
  </si>
  <si>
    <t>https://ac-p-ascintranet.azurewebsites.net/OrderCaseTracking/ReturnOrder?orderNr=62313872</t>
  </si>
  <si>
    <t>deze moet ik claimen</t>
  </si>
  <si>
    <t>https://ac-p-ascintranet.azurewebsites.net/OrderCaseTracking/ReturnOrder?orderNr=62313266</t>
  </si>
  <si>
    <t>https://ac-p-ascintranet.azurewebsites.net/OrderCaseTracking/ReturnOrder?orderNr=62313280</t>
  </si>
  <si>
    <t>https://ac-p-ascintranet.azurewebsites.net/OrderCaseTracking/ReturnOrder?orderNr=62313395</t>
  </si>
  <si>
    <t>https://ac-p-ascintranet.azurewebsites.net/OrderCaseTracking/ReturnOrder?orderNr=62313597</t>
  </si>
  <si>
    <t>https://ac-p-ascintranet.azurewebsites.net/OrderCaseTracking/ReturnOrder?orderNr=62313599</t>
  </si>
  <si>
    <t>https://ac-p-ascintranet.azurewebsites.net/OrderCaseTracking/ReturnOrder?orderNr=62313712</t>
  </si>
  <si>
    <t>https://ac-p-ascintranet.azurewebsites.net/OrderCaseTracking/ReturnOrder?orderNr=62313821</t>
  </si>
  <si>
    <t>https://ac-p-ascintranet.azurewebsites.net/OrderCaseTracking/ReturnOrder?orderNr=62313822</t>
  </si>
  <si>
    <t>Gebaseerd op Klantorders 260216228.</t>
  </si>
  <si>
    <t>https://ac-p-ascintranet.azurewebsites.net/OrderCaseTracking/ReturnOrder?orderNr=62313931</t>
  </si>
  <si>
    <t>Gebaseerd op Klantorders 260217286.</t>
  </si>
  <si>
    <t>Pequip Mar</t>
  </si>
  <si>
    <t>https://ac-p-ascintranet.azurewebsites.net/OrderCaseTracking/ReturnOrder?orderNr=62313930</t>
  </si>
  <si>
    <t>Gebaseerd op Klantorders 260217328.</t>
  </si>
  <si>
    <t>Volharding Shipping AG</t>
  </si>
  <si>
    <t>Gebaseerd op Klantorders 260217188.</t>
  </si>
  <si>
    <t>Tata Steel IJmuiden B.V.</t>
  </si>
  <si>
    <t>https://ac-p-ascintranet.azurewebsites.net/OrderCaseTracking/ReturnOrder?orderNr=62313944</t>
  </si>
  <si>
    <t>Gebaseerd op Klantorders 260217346.</t>
  </si>
  <si>
    <t>Nobian Industrial Chemicals B.V.</t>
  </si>
  <si>
    <t>https://ac-p-ascintranet.azurewebsites.net/OrderCaseTracking/ReturnOrder?orderNr=62313947</t>
  </si>
  <si>
    <t>Gebaseerd op Klantorders 260217327.</t>
  </si>
  <si>
    <t>Gebaseerd op Klantorders 260217415.</t>
  </si>
  <si>
    <t>Gebaseerd op Klantorders 260217414.</t>
  </si>
  <si>
    <t>Gebaseerd op Klantorders 260217445.</t>
  </si>
  <si>
    <t>Gebaseerd op Klantorders 260217453.</t>
  </si>
  <si>
    <t>https://ac-p-ascintranet.azurewebsites.net/OrderCaseTracking/ReturnOrder?orderNr=62314004</t>
  </si>
  <si>
    <t>Gebaseerd op Klantorders 260217497.</t>
  </si>
  <si>
    <t>Stepan Netherlands B.V.</t>
  </si>
  <si>
    <t>https://ac-p-ascintranet.azurewebsites.net/OrderCaseTracking/ReturnOrder?orderNr=62314018</t>
  </si>
  <si>
    <t>CompAir Drucklufttechnik GmbH</t>
  </si>
  <si>
    <t>Gebaseerd op Klantorders 260217433.</t>
  </si>
  <si>
    <t>Smurfit Westrock TWINCORR B.V.</t>
  </si>
  <si>
    <t>Gebaseerd op Klantorders 260217515.</t>
  </si>
  <si>
    <t>https://mydhl.express.dhl/nl/en/tracking.html#/results?id=2286629962</t>
  </si>
  <si>
    <t>Gebaseerd op Klantorders 260217573.</t>
  </si>
  <si>
    <t>Dixstone Netherlands NV</t>
  </si>
  <si>
    <t>https://ac-p-ascintranet.azurewebsites.net/OrderCaseTracking/ReturnOrder?orderNr=62314077</t>
  </si>
  <si>
    <t>Gebaseerd op Klantorders 260217578.</t>
  </si>
  <si>
    <t>Greenergy Biofuels Amsterdam B.V.</t>
  </si>
  <si>
    <t>Gebaseerd op Klantorders 260217592.</t>
  </si>
  <si>
    <t>Gebaseerd op Klantorders 260217540.</t>
  </si>
  <si>
    <t>https://ac-p-ascintranet.azurewebsites.net/OrderCaseTracking/ReturnOrder?orderNr=62314082</t>
  </si>
  <si>
    <t>M-Filter BV</t>
  </si>
  <si>
    <t>Gebaseerd op Klantorders 260217653.</t>
  </si>
  <si>
    <t>Superyacht Spares B.V.</t>
  </si>
  <si>
    <t>Gebaseerd op Klantorders 260216786.  Zie inkoop 262314124 andere lev code</t>
  </si>
  <si>
    <t>Buissink E.J.</t>
  </si>
  <si>
    <t>https://ac-p-ascintranet.azurewebsites.net/OrderCaseTracking/ReturnOrder?orderNr=62314141</t>
  </si>
  <si>
    <t>https://www.dhl.com/nl-nl/home/traceren.html?tracking-id=6976102383</t>
  </si>
  <si>
    <t>Gebaseerd op Klantorders 260217218.</t>
  </si>
  <si>
    <t>Teijin Aramid B.V.</t>
  </si>
  <si>
    <t>https://ac-p-ascintranet.azurewebsites.net/OrderCaseTracking/ReturnOrder?orderNr=62314178</t>
  </si>
  <si>
    <t>Gebaseerd op Klantorders 260217482.</t>
  </si>
  <si>
    <t>J.G. van der Mey B.V.</t>
  </si>
  <si>
    <t>https://ac-p-ascintranet.azurewebsites.net/OrderCaseTracking/ReturnOrder?orderNr=62314188</t>
  </si>
  <si>
    <t>Gebaseerd op Klantorders 260216590. order is niet meer nodig, is geannuleerd</t>
  </si>
  <si>
    <t>Ronnie</t>
  </si>
  <si>
    <t>ronnie.vrieling@geveke.com</t>
  </si>
  <si>
    <t>Gebaseerd op Klantorders 260217796.</t>
  </si>
  <si>
    <t>Busch B.V.</t>
  </si>
  <si>
    <t>Gebaseerd op Klantorders 260217805.</t>
  </si>
  <si>
    <t>https://ac-p-ascintranet.azurewebsites.net/OrderCaseTracking/ReturnOrder?orderNr=62314243</t>
  </si>
  <si>
    <t>https://ac-p-ascintranet.azurewebsites.net/OrderCaseTracking/ReturnOrder?orderNr=62314246</t>
  </si>
  <si>
    <t>https://ac-p-ascintranet.azurewebsites.net/OrderCaseTracking/ReturnOrder?orderNr=62314247</t>
  </si>
  <si>
    <t>Gebaseerd op Klantorders 260217840.</t>
  </si>
  <si>
    <t>https://ac-p-ascintranet.azurewebsites.net/OrderCaseTracking/ReturnOrder?orderNr=62314264</t>
  </si>
  <si>
    <t>Gebaseerd op Klantorders 260217865.</t>
  </si>
  <si>
    <t>B&amp;V Techniek B.V.</t>
  </si>
  <si>
    <t>https://ac-p-ascintranet.azurewebsites.net/OrderCaseTracking/ReturnOrder?orderNr=62314288</t>
  </si>
  <si>
    <t>Beko Technologies B.V.</t>
  </si>
  <si>
    <t>Gebaseerd op Klantorders 260217874.</t>
  </si>
  <si>
    <t>Anthony Veder Rederijzaken B.V.</t>
  </si>
  <si>
    <t>Geveke Parkerstore</t>
  </si>
  <si>
    <t>Gebaseerd op Klantorders 260217885.</t>
  </si>
</sst>
</file>

<file path=xl/styles.xml><?xml version="1.0" encoding="utf-8"?>
<styleSheet xmlns="http://schemas.openxmlformats.org/spreadsheetml/2006/main">
  <numFmts count="6">
    <numFmt numFmtId="164" formatCode="dd\-mm\-yyyy"/>
    <numFmt numFmtId="165" formatCode="\€\ #,##0.00"/>
    <numFmt numFmtId="166" formatCode="dd-mm-yyyy"/>
    <numFmt numFmtId="167" formatCode="&quot;€&quot; #,##0.00"/>
    <numFmt numFmtId="168" formatCode="dd-mm-yyyy hh:mm"/>
    <numFmt numFmtId="169" formatCode="dd mmmm yyyy"/>
  </numFmts>
  <fonts count="29">
    <font>
      <name val="Aptos Narrow"/>
      <family val="2"/>
      <color theme="1"/>
      <sz val="11"/>
      <scheme val="minor"/>
    </font>
    <font>
      <name val="Aptos Narrow"/>
      <family val="2"/>
      <sz val="8"/>
      <scheme val="minor"/>
    </font>
    <font>
      <name val="Aptos"/>
      <family val="2"/>
      <color theme="1"/>
      <sz val="10"/>
    </font>
    <font>
      <name val="Aptos"/>
      <family val="2"/>
      <b val="1"/>
      <color rgb="FFFFFFFF"/>
      <sz val="10"/>
    </font>
    <font>
      <name val="Aptos Narrow"/>
      <family val="2"/>
      <color rgb="FF0F172A"/>
      <sz val="10"/>
      <scheme val="minor"/>
    </font>
    <font>
      <name val="Aptos Narrow"/>
      <family val="2"/>
      <b val="1"/>
      <color rgb="FFFFFFFF"/>
      <sz val="10.5"/>
      <scheme val="minor"/>
    </font>
    <font>
      <name val="Aptos"/>
      <family val="2"/>
      <color rgb="FF0F172A"/>
      <sz val="10"/>
    </font>
    <font>
      <name val="Aptos"/>
      <family val="2"/>
      <b val="1"/>
      <color rgb="FF1D4ED8"/>
      <sz val="10"/>
    </font>
    <font>
      <name val="Aptos"/>
      <family val="2"/>
      <b val="1"/>
      <color rgb="FF166534"/>
      <sz val="10"/>
    </font>
    <font>
      <name val="Aptos"/>
      <family val="2"/>
      <b val="1"/>
      <color rgb="FF991B1B"/>
      <sz val="10"/>
    </font>
    <font>
      <name val="Aptos"/>
      <family val="2"/>
      <color rgb="FF475569"/>
      <sz val="10"/>
    </font>
    <font>
      <name val="Aptos Narrow"/>
      <family val="2"/>
      <color theme="10"/>
      <sz val="11"/>
      <u val="single"/>
      <scheme val="minor"/>
    </font>
    <font>
      <name val="Aptos"/>
      <family val="2"/>
      <color theme="10"/>
      <sz val="10"/>
      <u val="single"/>
    </font>
    <font>
      <name val="Aptos"/>
      <family val="2"/>
      <color rgb="FF000000"/>
      <sz val="10"/>
    </font>
    <font>
      <name val="Aptos"/>
      <color rgb="00142D4E"/>
      <sz val="10"/>
    </font>
    <font>
      <name val="Aptos"/>
      <b val="1"/>
      <color rgb="00FFFFFF"/>
      <sz val="10"/>
    </font>
    <font>
      <name val="Aptos"/>
      <color rgb="00142D4E"/>
      <sz val="11"/>
    </font>
    <font>
      <name val="Aptos"/>
      <b val="1"/>
      <color rgb="00FFFFFF"/>
      <sz val="11"/>
    </font>
    <font>
      <name val="Aptos"/>
      <b val="1"/>
      <color rgb="00FFFFFF"/>
      <sz val="30"/>
    </font>
    <font>
      <name val="Aptos"/>
      <color rgb="00D7E5F4"/>
      <sz val="12"/>
    </font>
    <font>
      <name val="Aptos"/>
      <b val="1"/>
      <color rgb="0062758B"/>
      <sz val="11"/>
    </font>
    <font>
      <name val="Aptos"/>
      <color rgb="0062758B"/>
      <sz val="11"/>
    </font>
    <font>
      <name val="Aptos"/>
      <b val="1"/>
      <color rgb="0062758B"/>
      <sz val="10"/>
    </font>
    <font>
      <name val="Aptos"/>
      <b val="1"/>
      <color rgb="00007F82"/>
      <sz val="28"/>
    </font>
    <font>
      <name val="Aptos"/>
      <b val="1"/>
      <color rgb="00AF3546"/>
      <sz val="28"/>
    </font>
    <font>
      <name val="Aptos"/>
      <b val="1"/>
      <color rgb="00A9680B"/>
      <sz val="28"/>
    </font>
    <font>
      <name val="Aptos"/>
      <b val="1"/>
      <color rgb="0062758B"/>
      <sz val="28"/>
    </font>
    <font>
      <name val="Aptos"/>
      <b val="1"/>
      <color rgb="00FFFFFF"/>
      <sz val="14"/>
    </font>
    <font>
      <name val="Aptos"/>
      <color rgb="0062758B"/>
      <sz val="10"/>
    </font>
  </fonts>
  <fills count="14">
    <fill>
      <patternFill/>
    </fill>
    <fill>
      <patternFill patternType="gray125"/>
    </fill>
    <fill>
      <patternFill patternType="solid">
        <fgColor rgb="FFC6EFCE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F2F7FC"/>
        <bgColor indexed="64"/>
      </patternFill>
    </fill>
    <fill>
      <patternFill patternType="solid">
        <fgColor rgb="FF0F172A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8FAFC"/>
        <bgColor indexed="64"/>
      </patternFill>
    </fill>
    <fill>
      <patternFill patternType="solid">
        <fgColor rgb="00FFFFFF"/>
      </patternFill>
    </fill>
    <fill>
      <patternFill patternType="solid">
        <fgColor rgb="00142D4E"/>
      </patternFill>
    </fill>
    <fill>
      <patternFill patternType="solid">
        <fgColor rgb="00F0F5FA"/>
      </patternFill>
    </fill>
    <fill>
      <patternFill patternType="solid">
        <fgColor rgb="00F2F5FA"/>
      </patternFill>
    </fill>
    <fill>
      <patternFill patternType="solid">
        <fgColor rgb="00007F82"/>
      </patternFill>
    </fill>
    <fill>
      <patternFill patternType="solid">
        <fgColor rgb="00E5EDF6"/>
      </patternFill>
    </fill>
  </fills>
  <borders count="4">
    <border>
      <left/>
      <right/>
      <top/>
      <bottom/>
      <diagonal/>
    </border>
    <border>
      <left style="thin">
        <color rgb="FFD9E1E8"/>
      </left>
      <right style="thin">
        <color rgb="FFD9E1E8"/>
      </right>
      <top style="thin">
        <color rgb="FFD9E1E8"/>
      </top>
      <bottom style="thin">
        <color rgb="FFD9E1E8"/>
      </bottom>
      <diagonal/>
    </border>
    <border>
      <left/>
      <right/>
      <top/>
      <bottom style="thin">
        <color rgb="FFE2E8F0"/>
      </bottom>
      <diagonal/>
    </border>
    <border>
      <bottom style="hair">
        <color rgb="00DEE6EF"/>
      </bottom>
    </border>
  </borders>
  <cellStyleXfs count="2">
    <xf numFmtId="0" fontId="0" fillId="0" borderId="0"/>
    <xf numFmtId="0" fontId="11" fillId="0" borderId="0"/>
  </cellStyleXfs>
  <cellXfs count="105">
    <xf numFmtId="0" fontId="0" fillId="0" borderId="0" pivotButton="0" quotePrefix="0" xfId="0"/>
    <xf numFmtId="14" fontId="2" fillId="0" borderId="0" pivotButton="0" quotePrefix="0" xfId="0"/>
    <xf numFmtId="0" fontId="3" fillId="3" borderId="1" applyAlignment="1" pivotButton="0" quotePrefix="0" xfId="0">
      <alignment horizontal="center" vertical="center" wrapText="1"/>
    </xf>
    <xf numFmtId="0" fontId="2" fillId="4" borderId="1" applyAlignment="1" pivotButton="0" quotePrefix="0" xfId="0">
      <alignment vertical="center"/>
    </xf>
    <xf numFmtId="0" fontId="5" fillId="5" borderId="2" applyAlignment="1" pivotButton="0" quotePrefix="0" xfId="0">
      <alignment horizontal="left" vertical="center"/>
    </xf>
    <xf numFmtId="0" fontId="4" fillId="6" borderId="2" applyAlignment="1" pivotButton="0" quotePrefix="0" xfId="0">
      <alignment horizontal="left" vertical="center"/>
    </xf>
    <xf numFmtId="0" fontId="4" fillId="7" borderId="2" applyAlignment="1" pivotButton="0" quotePrefix="0" xfId="0">
      <alignment horizontal="left" vertical="center"/>
    </xf>
    <xf numFmtId="0" fontId="4" fillId="6" borderId="2" applyAlignment="1" pivotButton="0" quotePrefix="0" xfId="0">
      <alignment horizontal="center" vertical="center"/>
    </xf>
    <xf numFmtId="0" fontId="4" fillId="7" borderId="2" applyAlignment="1" pivotButton="0" quotePrefix="0" xfId="0">
      <alignment horizontal="center" vertical="center"/>
    </xf>
    <xf numFmtId="164" fontId="4" fillId="6" borderId="2" applyAlignment="1" pivotButton="0" quotePrefix="0" xfId="0">
      <alignment horizontal="center" vertical="center"/>
    </xf>
    <xf numFmtId="164" fontId="4" fillId="7" borderId="2" applyAlignment="1" pivotButton="0" quotePrefix="0" xfId="0">
      <alignment horizontal="center" vertical="center"/>
    </xf>
    <xf numFmtId="0" fontId="4" fillId="6" borderId="2" applyAlignment="1" pivotButton="0" quotePrefix="0" xfId="0">
      <alignment horizontal="left" vertical="center" wrapText="1"/>
    </xf>
    <xf numFmtId="0" fontId="4" fillId="7" borderId="2" applyAlignment="1" pivotButton="0" quotePrefix="0" xfId="0">
      <alignment horizontal="left" vertical="center" wrapText="1"/>
    </xf>
    <xf numFmtId="0" fontId="6" fillId="6" borderId="1" applyAlignment="1" pivotButton="0" quotePrefix="0" xfId="0">
      <alignment horizontal="center" vertical="center"/>
    </xf>
    <xf numFmtId="0" fontId="6" fillId="6" borderId="1" applyAlignment="1" pivotButton="0" quotePrefix="0" xfId="0">
      <alignment horizontal="left" vertical="center"/>
    </xf>
    <xf numFmtId="164" fontId="6" fillId="6" borderId="1" applyAlignment="1" pivotButton="0" quotePrefix="0" xfId="0">
      <alignment horizontal="center" vertical="center"/>
    </xf>
    <xf numFmtId="0" fontId="6" fillId="6" borderId="1" applyAlignment="1" pivotButton="0" quotePrefix="0" xfId="0">
      <alignment horizontal="left" vertical="center" wrapText="1"/>
    </xf>
    <xf numFmtId="0" fontId="6" fillId="2" borderId="1" applyAlignment="1" pivotButton="0" quotePrefix="0" xfId="0">
      <alignment horizontal="center" vertical="center"/>
    </xf>
    <xf numFmtId="0" fontId="6" fillId="2" borderId="1" applyAlignment="1" pivotButton="0" quotePrefix="0" xfId="0">
      <alignment horizontal="left" vertical="center"/>
    </xf>
    <xf numFmtId="0" fontId="6" fillId="2" borderId="1" applyAlignment="1" pivotButton="0" quotePrefix="0" xfId="0">
      <alignment horizontal="left" vertical="center" wrapText="1"/>
    </xf>
    <xf numFmtId="0" fontId="6" fillId="4" borderId="1" applyAlignment="1" pivotButton="0" quotePrefix="0" xfId="0">
      <alignment horizontal="center" vertical="center"/>
    </xf>
    <xf numFmtId="0" fontId="6" fillId="4" borderId="1" applyAlignment="1" pivotButton="0" quotePrefix="0" xfId="0">
      <alignment horizontal="left" vertical="center"/>
    </xf>
    <xf numFmtId="164" fontId="6" fillId="4" borderId="1" applyAlignment="1" pivotButton="0" quotePrefix="0" xfId="0">
      <alignment horizontal="center" vertical="center"/>
    </xf>
    <xf numFmtId="0" fontId="6" fillId="4" borderId="1" applyAlignment="1" pivotButton="0" quotePrefix="0" xfId="0">
      <alignment horizontal="left" vertical="center" wrapText="1"/>
    </xf>
    <xf numFmtId="0" fontId="2" fillId="6" borderId="1" applyAlignment="1" pivotButton="0" quotePrefix="0" xfId="0">
      <alignment vertical="center"/>
    </xf>
    <xf numFmtId="0" fontId="2" fillId="6" borderId="1" applyAlignment="1" pivotButton="0" quotePrefix="0" xfId="0">
      <alignment horizontal="center" vertical="center"/>
    </xf>
    <xf numFmtId="0" fontId="2" fillId="4" borderId="1" applyAlignment="1" pivotButton="0" quotePrefix="0" xfId="0">
      <alignment horizontal="center" vertical="center"/>
    </xf>
    <xf numFmtId="0" fontId="7" fillId="4" borderId="1" applyAlignment="1" pivotButton="0" quotePrefix="0" xfId="0">
      <alignment horizontal="center" vertical="center"/>
    </xf>
    <xf numFmtId="0" fontId="7" fillId="6" borderId="1" applyAlignment="1" pivotButton="0" quotePrefix="0" xfId="0">
      <alignment horizontal="center" vertical="center"/>
    </xf>
    <xf numFmtId="0" fontId="8" fillId="4" borderId="1" applyAlignment="1" pivotButton="0" quotePrefix="0" xfId="0">
      <alignment horizontal="center" vertical="center"/>
    </xf>
    <xf numFmtId="0" fontId="8" fillId="6" borderId="1" applyAlignment="1" pivotButton="0" quotePrefix="0" xfId="0">
      <alignment horizontal="center" vertical="center"/>
    </xf>
    <xf numFmtId="0" fontId="9" fillId="4" borderId="1" applyAlignment="1" pivotButton="0" quotePrefix="0" xfId="0">
      <alignment horizontal="center" vertical="center"/>
    </xf>
    <xf numFmtId="165" fontId="6" fillId="4" borderId="1" applyAlignment="1" pivotButton="0" quotePrefix="0" xfId="0">
      <alignment horizontal="right" vertical="center"/>
    </xf>
    <xf numFmtId="165" fontId="6" fillId="6" borderId="1" applyAlignment="1" pivotButton="0" quotePrefix="0" xfId="0">
      <alignment horizontal="right" vertical="center"/>
    </xf>
    <xf numFmtId="0" fontId="10" fillId="4" borderId="1" applyAlignment="1" pivotButton="0" quotePrefix="0" xfId="0">
      <alignment horizontal="left" vertical="center"/>
    </xf>
    <xf numFmtId="0" fontId="10" fillId="6" borderId="1" applyAlignment="1" pivotButton="0" quotePrefix="0" xfId="0">
      <alignment horizontal="left" vertical="center"/>
    </xf>
    <xf numFmtId="0" fontId="2" fillId="6" borderId="1" applyAlignment="1" pivotButton="0" quotePrefix="0" xfId="0">
      <alignment vertical="center" wrapText="1"/>
    </xf>
    <xf numFmtId="0" fontId="2" fillId="4" borderId="1" applyAlignment="1" pivotButton="0" quotePrefix="0" xfId="0">
      <alignment vertical="center" wrapText="1"/>
    </xf>
    <xf numFmtId="164" fontId="6" fillId="4" borderId="1" applyAlignment="1" pivotButton="0" quotePrefix="0" xfId="0">
      <alignment horizontal="left" vertical="center"/>
    </xf>
    <xf numFmtId="164" fontId="6" fillId="6" borderId="1" applyAlignment="1" pivotButton="0" quotePrefix="0" xfId="0">
      <alignment horizontal="left" vertical="center"/>
    </xf>
    <xf numFmtId="164" fontId="6" fillId="2" borderId="1" applyAlignment="1" pivotButton="0" quotePrefix="0" xfId="0">
      <alignment horizontal="left" vertical="center"/>
    </xf>
    <xf numFmtId="164" fontId="2" fillId="6" borderId="1" applyAlignment="1" pivotButton="0" quotePrefix="0" xfId="0">
      <alignment horizontal="left" vertical="center"/>
    </xf>
    <xf numFmtId="164" fontId="2" fillId="4" borderId="1" applyAlignment="1" pivotButton="0" quotePrefix="0" xfId="0">
      <alignment horizontal="left" vertical="center"/>
    </xf>
    <xf numFmtId="0" fontId="0" fillId="0" borderId="0" applyAlignment="1" pivotButton="0" quotePrefix="0" xfId="0">
      <alignment horizontal="left"/>
    </xf>
    <xf numFmtId="0" fontId="11" fillId="0" borderId="0" pivotButton="0" quotePrefix="0" xfId="1"/>
    <xf numFmtId="164" fontId="2" fillId="6" borderId="1" applyAlignment="1" pivotButton="0" quotePrefix="0" xfId="0">
      <alignment vertical="center"/>
    </xf>
    <xf numFmtId="164" fontId="2" fillId="4" borderId="1" applyAlignment="1" pivotButton="0" quotePrefix="0" xfId="0">
      <alignment vertical="center"/>
    </xf>
    <xf numFmtId="165" fontId="2" fillId="6" borderId="1" applyAlignment="1" pivotButton="0" quotePrefix="0" xfId="0">
      <alignment horizontal="right" vertical="center"/>
    </xf>
    <xf numFmtId="165" fontId="2" fillId="4" borderId="1" applyAlignment="1" pivotButton="0" quotePrefix="0" xfId="0">
      <alignment horizontal="right" vertical="center"/>
    </xf>
    <xf numFmtId="0" fontId="2" fillId="6" borderId="1" applyAlignment="1" pivotButton="0" quotePrefix="0" xfId="0">
      <alignment horizontal="left" vertical="center"/>
    </xf>
    <xf numFmtId="0" fontId="2" fillId="4" borderId="1" applyAlignment="1" pivotButton="0" quotePrefix="0" xfId="0">
      <alignment horizontal="left" vertical="center"/>
    </xf>
    <xf numFmtId="0" fontId="0" fillId="0" borderId="0" applyAlignment="1" pivotButton="0" quotePrefix="0" xfId="0">
      <alignment wrapText="1"/>
    </xf>
    <xf numFmtId="0" fontId="2" fillId="2" borderId="1" applyAlignment="1" pivotButton="0" quotePrefix="0" xfId="0">
      <alignment horizontal="center" vertical="center"/>
    </xf>
    <xf numFmtId="0" fontId="2" fillId="2" borderId="1" applyAlignment="1" pivotButton="0" quotePrefix="0" xfId="0">
      <alignment vertical="center"/>
    </xf>
    <xf numFmtId="0" fontId="2" fillId="2" borderId="1" applyAlignment="1" pivotButton="0" quotePrefix="0" xfId="0">
      <alignment horizontal="left" vertical="center"/>
    </xf>
    <xf numFmtId="164" fontId="2" fillId="2" borderId="1" applyAlignment="1" pivotButton="0" quotePrefix="0" xfId="0">
      <alignment horizontal="left" vertical="center"/>
    </xf>
    <xf numFmtId="0" fontId="12" fillId="2" borderId="1" applyAlignment="1" pivotButton="0" quotePrefix="0" xfId="1">
      <alignment vertical="center" wrapText="1"/>
    </xf>
    <xf numFmtId="22" fontId="6" fillId="6" borderId="1" applyAlignment="1" pivotButton="0" quotePrefix="0" xfId="0">
      <alignment horizontal="center" vertical="center"/>
    </xf>
    <xf numFmtId="22" fontId="6" fillId="4" borderId="1" applyAlignment="1" pivotButton="0" quotePrefix="0" xfId="0">
      <alignment horizontal="center" vertical="center"/>
    </xf>
    <xf numFmtId="49" fontId="2" fillId="2" borderId="1" applyAlignment="1" pivotButton="0" quotePrefix="0" xfId="0">
      <alignment horizontal="center" vertical="center"/>
    </xf>
    <xf numFmtId="0" fontId="2" fillId="2" borderId="1" applyAlignment="1" pivotButton="0" quotePrefix="0" xfId="0">
      <alignment vertical="center" wrapText="1"/>
    </xf>
    <xf numFmtId="0" fontId="12" fillId="4" borderId="1" applyAlignment="1" pivotButton="0" quotePrefix="0" xfId="1">
      <alignment vertical="center" wrapText="1"/>
    </xf>
    <xf numFmtId="0" fontId="12" fillId="6" borderId="1" applyAlignment="1" pivotButton="0" quotePrefix="0" xfId="1">
      <alignment vertical="center" wrapText="1"/>
    </xf>
    <xf numFmtId="0" fontId="0" fillId="0" borderId="0" applyAlignment="1" pivotButton="0" quotePrefix="0" xfId="0">
      <alignment horizontal="center"/>
    </xf>
    <xf numFmtId="164" fontId="2" fillId="6" borderId="1" applyAlignment="1" pivotButton="0" quotePrefix="0" xfId="0">
      <alignment horizontal="center" vertical="center"/>
    </xf>
    <xf numFmtId="164" fontId="2" fillId="4" borderId="1" applyAlignment="1" pivotButton="0" quotePrefix="0" xfId="0">
      <alignment horizontal="center" vertical="center"/>
    </xf>
    <xf numFmtId="22" fontId="2" fillId="6" borderId="1" applyAlignment="1" pivotButton="0" quotePrefix="0" xfId="0">
      <alignment horizontal="center" vertical="center"/>
    </xf>
    <xf numFmtId="22" fontId="2" fillId="4" borderId="1" applyAlignment="1" pivotButton="0" quotePrefix="0" xfId="0">
      <alignment horizontal="center" vertical="center"/>
    </xf>
    <xf numFmtId="0" fontId="2" fillId="2" borderId="0" applyAlignment="1" pivotButton="0" quotePrefix="0" xfId="0">
      <alignment vertical="center" wrapText="1"/>
    </xf>
    <xf numFmtId="0" fontId="11" fillId="0" borderId="1" pivotButton="0" quotePrefix="0" xfId="1"/>
    <xf numFmtId="0" fontId="13" fillId="6" borderId="1" applyAlignment="1" pivotButton="0" quotePrefix="0" xfId="0">
      <alignment horizontal="center" vertical="center"/>
    </xf>
    <xf numFmtId="0" fontId="15" fillId="9" borderId="3" applyAlignment="1" pivotButton="0" quotePrefix="0" xfId="0">
      <alignment vertical="center" wrapText="1"/>
    </xf>
    <xf numFmtId="0" fontId="14" fillId="10" borderId="3" applyAlignment="1" pivotButton="0" quotePrefix="0" xfId="0">
      <alignment vertical="center"/>
    </xf>
    <xf numFmtId="0" fontId="14" fillId="10" borderId="3" applyAlignment="1" pivotButton="0" quotePrefix="0" xfId="0">
      <alignment vertical="center" wrapText="1"/>
    </xf>
    <xf numFmtId="166" fontId="14" fillId="10" borderId="3" applyAlignment="1" pivotButton="0" quotePrefix="0" xfId="0">
      <alignment vertical="center"/>
    </xf>
    <xf numFmtId="0" fontId="14" fillId="10" borderId="3" applyAlignment="1" pivotButton="0" quotePrefix="0" xfId="1">
      <alignment vertical="center" wrapText="1"/>
    </xf>
    <xf numFmtId="0" fontId="14" fillId="8" borderId="3" applyAlignment="1" pivotButton="0" quotePrefix="0" xfId="0">
      <alignment vertical="center"/>
    </xf>
    <xf numFmtId="0" fontId="14" fillId="8" borderId="3" applyAlignment="1" pivotButton="0" quotePrefix="0" xfId="0">
      <alignment vertical="center" wrapText="1"/>
    </xf>
    <xf numFmtId="166" fontId="14" fillId="8" borderId="3" applyAlignment="1" pivotButton="0" quotePrefix="0" xfId="0">
      <alignment vertical="center"/>
    </xf>
    <xf numFmtId="0" fontId="14" fillId="8" borderId="3" applyAlignment="1" pivotButton="0" quotePrefix="0" xfId="1">
      <alignment vertical="center" wrapText="1"/>
    </xf>
    <xf numFmtId="167" fontId="14" fillId="10" borderId="3" applyAlignment="1" pivotButton="0" quotePrefix="0" xfId="0">
      <alignment vertical="center"/>
    </xf>
    <xf numFmtId="168" fontId="14" fillId="10" borderId="3" applyAlignment="1" pivotButton="0" quotePrefix="0" xfId="0">
      <alignment vertical="center"/>
    </xf>
    <xf numFmtId="167" fontId="14" fillId="8" borderId="3" applyAlignment="1" pivotButton="0" quotePrefix="0" xfId="0">
      <alignment vertical="center"/>
    </xf>
    <xf numFmtId="168" fontId="14" fillId="8" borderId="3" applyAlignment="1" pivotButton="0" quotePrefix="0" xfId="0">
      <alignment vertical="center"/>
    </xf>
    <xf numFmtId="49" fontId="14" fillId="10" borderId="3" applyAlignment="1" pivotButton="0" quotePrefix="0" xfId="0">
      <alignment vertical="center"/>
    </xf>
    <xf numFmtId="0" fontId="17" fillId="9" borderId="0" applyAlignment="1" pivotButton="0" quotePrefix="0" xfId="0">
      <alignment vertical="center" wrapText="1" indent="1"/>
    </xf>
    <xf numFmtId="0" fontId="0" fillId="9" borderId="0" pivotButton="0" quotePrefix="0" xfId="0"/>
    <xf numFmtId="0" fontId="18" fillId="9" borderId="0" applyAlignment="1" pivotButton="0" quotePrefix="0" xfId="0">
      <alignment vertical="center" wrapText="1" indent="1"/>
    </xf>
    <xf numFmtId="0" fontId="19" fillId="9" borderId="0" applyAlignment="1" pivotButton="0" quotePrefix="0" xfId="0">
      <alignment vertical="center" wrapText="1" indent="1"/>
    </xf>
    <xf numFmtId="0" fontId="16" fillId="11" borderId="0" applyAlignment="1" pivotButton="0" quotePrefix="0" xfId="0">
      <alignment vertical="center"/>
    </xf>
    <xf numFmtId="0" fontId="20" fillId="11" borderId="0" applyAlignment="1" pivotButton="0" quotePrefix="0" xfId="0">
      <alignment vertical="center" wrapText="1" indent="1"/>
    </xf>
    <xf numFmtId="169" fontId="21" fillId="11" borderId="0" applyAlignment="1" pivotButton="0" quotePrefix="0" xfId="0">
      <alignment vertical="center" wrapText="1" indent="1"/>
    </xf>
    <xf numFmtId="0" fontId="22" fillId="8" borderId="0" applyAlignment="1" pivotButton="0" quotePrefix="0" xfId="0">
      <alignment vertical="center" wrapText="1" indent="1"/>
    </xf>
    <xf numFmtId="0" fontId="0" fillId="8" borderId="0" pivotButton="0" quotePrefix="0" xfId="0"/>
    <xf numFmtId="0" fontId="23" fillId="8" borderId="0" applyAlignment="1" pivotButton="0" quotePrefix="0" xfId="0">
      <alignment vertical="center" wrapText="1" indent="1"/>
    </xf>
    <xf numFmtId="0" fontId="24" fillId="8" borderId="0" applyAlignment="1" pivotButton="0" quotePrefix="0" xfId="0">
      <alignment vertical="center" wrapText="1" indent="1"/>
    </xf>
    <xf numFmtId="0" fontId="25" fillId="8" borderId="0" applyAlignment="1" pivotButton="0" quotePrefix="0" xfId="0">
      <alignment vertical="center" wrapText="1" indent="1"/>
    </xf>
    <xf numFmtId="0" fontId="26" fillId="8" borderId="0" applyAlignment="1" pivotButton="0" quotePrefix="0" xfId="0">
      <alignment vertical="center" wrapText="1" indent="1"/>
    </xf>
    <xf numFmtId="0" fontId="27" fillId="12" borderId="0" applyAlignment="1" pivotButton="0" quotePrefix="0" xfId="0">
      <alignment vertical="center" wrapText="1" indent="1"/>
    </xf>
    <xf numFmtId="0" fontId="0" fillId="12" borderId="0" pivotButton="0" quotePrefix="0" xfId="0"/>
    <xf numFmtId="0" fontId="27" fillId="9" borderId="0" applyAlignment="1" pivotButton="0" quotePrefix="0" xfId="0">
      <alignment vertical="center" wrapText="1" indent="1"/>
    </xf>
    <xf numFmtId="0" fontId="16" fillId="8" borderId="0" applyAlignment="1" pivotButton="0" quotePrefix="0" xfId="0">
      <alignment vertical="center" wrapText="1" indent="1"/>
    </xf>
    <xf numFmtId="0" fontId="16" fillId="13" borderId="0" applyAlignment="1" pivotButton="0" quotePrefix="0" xfId="0">
      <alignment vertical="center" wrapText="1" indent="1"/>
    </xf>
    <xf numFmtId="0" fontId="0" fillId="13" borderId="0" pivotButton="0" quotePrefix="0" xfId="0"/>
    <xf numFmtId="0" fontId="28" fillId="11" borderId="0" applyAlignment="1" pivotButton="0" quotePrefix="0" xfId="0">
      <alignment vertical="center" wrapText="1" indent="1"/>
    </xf>
  </cellXfs>
  <cellStyles count="2">
    <cellStyle name="Standaard" xfId="0" builtinId="0"/>
    <cellStyle name="Hyperlink" xfId="1" builtinId="8"/>
  </cellStyles>
  <dxfs count="9">
    <dxf>
      <font>
        <b val="1"/>
        <color rgb="FF9C0006"/>
      </font>
      <fill>
        <patternFill>
          <bgColor rgb="FFFDE8E7"/>
        </patternFill>
      </fill>
    </dxf>
    <dxf>
      <font>
        <b val="1"/>
        <color rgb="FF7F6000"/>
      </font>
      <fill>
        <patternFill>
          <bgColor rgb="FFFFF2CC"/>
        </patternFill>
      </fill>
    </dxf>
    <dxf>
      <font>
        <b val="1"/>
        <color rgb="FF1F4E37"/>
      </font>
      <fill>
        <patternFill>
          <bgColor rgb="FFDDF3E4"/>
        </patternFill>
      </fill>
    </dxf>
    <dxf>
      <font>
        <b val="1"/>
        <color rgb="00142D4E"/>
      </font>
      <fill>
        <patternFill patternType="solid">
          <fgColor rgb="00FBE1E4"/>
        </patternFill>
      </fill>
    </dxf>
    <dxf>
      <font>
        <b val="1"/>
        <color rgb="00142D4E"/>
      </font>
      <fill>
        <patternFill patternType="solid">
          <fgColor rgb="00FFE5CA"/>
        </patternFill>
      </fill>
    </dxf>
    <dxf>
      <font>
        <b val="1"/>
        <color rgb="00142D4E"/>
      </font>
      <fill>
        <patternFill patternType="solid">
          <fgColor rgb="00FFF2CD"/>
        </patternFill>
      </fill>
    </dxf>
    <dxf>
      <fill>
        <patternFill patternType="solid">
          <fgColor rgb="00FFF0CD"/>
        </patternFill>
      </fill>
    </dxf>
    <dxf>
      <fill>
        <patternFill patternType="solid">
          <fgColor rgb="00DDF2E8"/>
        </patternFill>
      </fill>
    </dxf>
    <dxf>
      <fill>
        <patternFill patternType="solid">
          <fgColor rgb="00FBE1E4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styles" Target="styles.xml" Id="rId6"/><Relationship Type="http://schemas.openxmlformats.org/officeDocument/2006/relationships/theme" Target="theme/theme1.xml" Id="rId7"/><Relationship Type="http://schemas.microsoft.com/office/2006/relationships/vbaProject" Target="vbaProject.bin" Id="rId8"/><Relationship Id="rIdExtra8" Type="http://schemas.microsoft.com/office/2017/10/relationships/person" Target="persons/person.xml"/><Relationship Id="rIdExtra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25400</xdr:colOff>
      <xdr:row>1</xdr:row>
      <xdr:rowOff>25400</xdr:rowOff>
    </xdr:from>
    <xdr:to>
      <xdr:col>9</xdr:col>
      <xdr:colOff>790000</xdr:colOff>
      <xdr:row>1</xdr:row>
      <xdr:rowOff>292100</xdr:rowOff>
    </xdr:to>
    <xdr:sp macro="[0]!OpvolgenPO" textlink="">
      <xdr:nvSpPr>
        <xdr:cNvPr id="3098" name="btnPOOpvolg_2">
          <a:extLst>
            <a:ext uri="{FF2B5EF4-FFF2-40B4-BE49-F238E27FC236}">
              <a16:creationId xmlns:a16="http://schemas.microsoft.com/office/drawing/2014/main" id="{F0A39436-6393-4D5E-DB9E-20FD88895666}"/>
            </a:ext>
          </a:extLst>
        </xdr:cNvPr>
        <xdr:cNvSpPr/>
      </xdr:nvSpPr>
      <xdr:spPr>
        <a:xfrm>
          <a:off x="12188825" y="406400"/>
          <a:ext cx="1063625" cy="215900"/>
        </a:xfrm>
        <a:prstGeom prst="roundRect">
          <a:avLst/>
        </a:prstGeom>
        <a:solidFill>
          <a:srgbClr val="E3EBF4"/>
        </a:solidFill>
        <a:ln w="12700">
          <a:solidFill>
            <a:srgbClr val="787878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0" rIns="25400" bIns="0" rtlCol="0" anchor="ctr"/>
        <a:lstStyle/>
        <a:p>
          <a:pPr algn="ctr"/>
          <a:r>
            <a:rPr lang="nl-NL" sz="900" b="1">
              <a:solidFill>
                <a:srgbClr val="142D4E"/>
              </a:solidFill>
              <a:latin typeface="Aptos" panose="020B0004020202020204" pitchFamily="34" charset="0"/>
            </a:rPr>
            <a:t>PO opvolgen</a:t>
          </a:r>
        </a:p>
      </xdr:txBody>
    </xdr:sp>
    <xdr:clientData/>
  </xdr:twoCellAnchor>
  <xdr:twoCellAnchor>
    <xdr:from>
      <xdr:col>9</xdr:col>
      <xdr:colOff>25400</xdr:colOff>
      <xdr:row>2</xdr:row>
      <xdr:rowOff>25400</xdr:rowOff>
    </xdr:from>
    <xdr:to>
      <xdr:col>9</xdr:col>
      <xdr:colOff>790000</xdr:colOff>
      <xdr:row>2</xdr:row>
      <xdr:rowOff>292100</xdr:rowOff>
    </xdr:to>
    <xdr:sp macro="[0]!OpvolgenPO" textlink="">
      <xdr:nvSpPr>
        <xdr:cNvPr id="3099" name="btnPOOpvolg_3">
          <a:extLst>
            <a:ext uri="{FF2B5EF4-FFF2-40B4-BE49-F238E27FC236}">
              <a16:creationId xmlns:a16="http://schemas.microsoft.com/office/drawing/2014/main" id="{44804C7F-79AB-B856-F4E1-3FAE04B29F56}"/>
            </a:ext>
          </a:extLst>
        </xdr:cNvPr>
        <xdr:cNvSpPr/>
      </xdr:nvSpPr>
      <xdr:spPr>
        <a:xfrm>
          <a:off x="12188825" y="673100"/>
          <a:ext cx="1063625" cy="215900"/>
        </a:xfrm>
        <a:prstGeom prst="roundRect">
          <a:avLst/>
        </a:prstGeom>
        <a:solidFill>
          <a:srgbClr val="E3EBF4"/>
        </a:solidFill>
        <a:ln w="12700">
          <a:solidFill>
            <a:srgbClr val="787878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0" rIns="25400" bIns="0" rtlCol="0" anchor="ctr"/>
        <a:lstStyle/>
        <a:p>
          <a:pPr algn="ctr"/>
          <a:r>
            <a:rPr lang="nl-NL" sz="900" b="1">
              <a:solidFill>
                <a:srgbClr val="142D4E"/>
              </a:solidFill>
              <a:latin typeface="Aptos" panose="020B0004020202020204" pitchFamily="34" charset="0"/>
            </a:rPr>
            <a:t>PO opvolgen</a:t>
          </a:r>
        </a:p>
      </xdr:txBody>
    </xdr:sp>
    <xdr:clientData/>
  </xdr:twoCellAnchor>
  <xdr:twoCellAnchor>
    <xdr:from>
      <xdr:col>9</xdr:col>
      <xdr:colOff>25400</xdr:colOff>
      <xdr:row>3</xdr:row>
      <xdr:rowOff>25400</xdr:rowOff>
    </xdr:from>
    <xdr:to>
      <xdr:col>9</xdr:col>
      <xdr:colOff>790000</xdr:colOff>
      <xdr:row>3</xdr:row>
      <xdr:rowOff>292100</xdr:rowOff>
    </xdr:to>
    <xdr:sp macro="[0]!OpvolgenPO" textlink="">
      <xdr:nvSpPr>
        <xdr:cNvPr id="3100" name="btnPOOpvolg_4">
          <a:extLst>
            <a:ext uri="{FF2B5EF4-FFF2-40B4-BE49-F238E27FC236}">
              <a16:creationId xmlns:a16="http://schemas.microsoft.com/office/drawing/2014/main" id="{2DC25A96-F4D5-72A0-F480-C7E8F79C5244}"/>
            </a:ext>
          </a:extLst>
        </xdr:cNvPr>
        <xdr:cNvSpPr/>
      </xdr:nvSpPr>
      <xdr:spPr>
        <a:xfrm>
          <a:off x="12188825" y="939800"/>
          <a:ext cx="1063625" cy="215900"/>
        </a:xfrm>
        <a:prstGeom prst="roundRect">
          <a:avLst/>
        </a:prstGeom>
        <a:solidFill>
          <a:srgbClr val="E3EBF4"/>
        </a:solidFill>
        <a:ln w="12700">
          <a:solidFill>
            <a:srgbClr val="787878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0" rIns="25400" bIns="0" rtlCol="0" anchor="ctr"/>
        <a:lstStyle/>
        <a:p>
          <a:pPr algn="ctr"/>
          <a:r>
            <a:rPr lang="nl-NL" sz="900" b="1">
              <a:solidFill>
                <a:srgbClr val="142D4E"/>
              </a:solidFill>
              <a:latin typeface="Aptos" panose="020B0004020202020204" pitchFamily="34" charset="0"/>
            </a:rPr>
            <a:t>PO opvolgen</a:t>
          </a:r>
        </a:p>
      </xdr:txBody>
    </xdr:sp>
    <xdr:clientData/>
  </xdr:twoCellAnchor>
  <xdr:twoCellAnchor>
    <xdr:from>
      <xdr:col>9</xdr:col>
      <xdr:colOff>25400</xdr:colOff>
      <xdr:row>4</xdr:row>
      <xdr:rowOff>25400</xdr:rowOff>
    </xdr:from>
    <xdr:to>
      <xdr:col>9</xdr:col>
      <xdr:colOff>790000</xdr:colOff>
      <xdr:row>4</xdr:row>
      <xdr:rowOff>292100</xdr:rowOff>
    </xdr:to>
    <xdr:sp macro="[0]!OpvolgenPO" textlink="">
      <xdr:nvSpPr>
        <xdr:cNvPr id="3101" name="btnPOOpvolg_5">
          <a:extLst>
            <a:ext uri="{FF2B5EF4-FFF2-40B4-BE49-F238E27FC236}">
              <a16:creationId xmlns:a16="http://schemas.microsoft.com/office/drawing/2014/main" id="{C54A9559-540E-80C2-1A89-AC3344026C23}"/>
            </a:ext>
          </a:extLst>
        </xdr:cNvPr>
        <xdr:cNvSpPr/>
      </xdr:nvSpPr>
      <xdr:spPr>
        <a:xfrm>
          <a:off x="12188825" y="1206500"/>
          <a:ext cx="1063625" cy="215900"/>
        </a:xfrm>
        <a:prstGeom prst="roundRect">
          <a:avLst/>
        </a:prstGeom>
        <a:solidFill>
          <a:srgbClr val="E3EBF4"/>
        </a:solidFill>
        <a:ln w="12700">
          <a:solidFill>
            <a:srgbClr val="787878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0" rIns="25400" bIns="0" rtlCol="0" anchor="ctr"/>
        <a:lstStyle/>
        <a:p>
          <a:pPr algn="ctr"/>
          <a:r>
            <a:rPr lang="nl-NL" sz="900" b="1">
              <a:solidFill>
                <a:srgbClr val="142D4E"/>
              </a:solidFill>
              <a:latin typeface="Aptos" panose="020B0004020202020204" pitchFamily="34" charset="0"/>
            </a:rPr>
            <a:t>PO opvolgen</a:t>
          </a:r>
        </a:p>
      </xdr:txBody>
    </xdr:sp>
    <xdr:clientData/>
  </xdr:twoCellAnchor>
  <xdr:twoCellAnchor>
    <xdr:from>
      <xdr:col>9</xdr:col>
      <xdr:colOff>25400</xdr:colOff>
      <xdr:row>5</xdr:row>
      <xdr:rowOff>25400</xdr:rowOff>
    </xdr:from>
    <xdr:to>
      <xdr:col>9</xdr:col>
      <xdr:colOff>790000</xdr:colOff>
      <xdr:row>5</xdr:row>
      <xdr:rowOff>292100</xdr:rowOff>
    </xdr:to>
    <xdr:sp macro="[0]!OpvolgenPO" textlink="">
      <xdr:nvSpPr>
        <xdr:cNvPr id="3102" name="btnPOOpvolg_6">
          <a:extLst>
            <a:ext uri="{FF2B5EF4-FFF2-40B4-BE49-F238E27FC236}">
              <a16:creationId xmlns:a16="http://schemas.microsoft.com/office/drawing/2014/main" id="{F3B64D93-A7D9-7385-2DAC-D5D136E0EF13}"/>
            </a:ext>
          </a:extLst>
        </xdr:cNvPr>
        <xdr:cNvSpPr/>
      </xdr:nvSpPr>
      <xdr:spPr>
        <a:xfrm>
          <a:off x="12188825" y="1473200"/>
          <a:ext cx="1063625" cy="215900"/>
        </a:xfrm>
        <a:prstGeom prst="roundRect">
          <a:avLst/>
        </a:prstGeom>
        <a:solidFill>
          <a:srgbClr val="E3EBF4"/>
        </a:solidFill>
        <a:ln w="12700">
          <a:solidFill>
            <a:srgbClr val="787878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0" rIns="25400" bIns="0" rtlCol="0" anchor="ctr"/>
        <a:lstStyle/>
        <a:p>
          <a:pPr algn="ctr"/>
          <a:r>
            <a:rPr lang="nl-NL" sz="900" b="1">
              <a:solidFill>
                <a:srgbClr val="142D4E"/>
              </a:solidFill>
              <a:latin typeface="Aptos" panose="020B0004020202020204" pitchFamily="34" charset="0"/>
            </a:rPr>
            <a:t>PO opvolgen</a:t>
          </a:r>
        </a:p>
      </xdr:txBody>
    </xdr:sp>
    <xdr:clientData/>
  </xdr:twoCellAnchor>
  <xdr:twoCellAnchor>
    <xdr:from>
      <xdr:col>9</xdr:col>
      <xdr:colOff>25400</xdr:colOff>
      <xdr:row>6</xdr:row>
      <xdr:rowOff>25400</xdr:rowOff>
    </xdr:from>
    <xdr:to>
      <xdr:col>9</xdr:col>
      <xdr:colOff>790000</xdr:colOff>
      <xdr:row>6</xdr:row>
      <xdr:rowOff>292100</xdr:rowOff>
    </xdr:to>
    <xdr:sp macro="[0]!OpvolgenPO" textlink="">
      <xdr:nvSpPr>
        <xdr:cNvPr id="3103" name="btnPOOpvolg_7">
          <a:extLst>
            <a:ext uri="{FF2B5EF4-FFF2-40B4-BE49-F238E27FC236}">
              <a16:creationId xmlns:a16="http://schemas.microsoft.com/office/drawing/2014/main" id="{BF53081F-AF3B-6CC5-FFE2-D21ECD973105}"/>
            </a:ext>
          </a:extLst>
        </xdr:cNvPr>
        <xdr:cNvSpPr/>
      </xdr:nvSpPr>
      <xdr:spPr>
        <a:xfrm>
          <a:off x="12188825" y="1739900"/>
          <a:ext cx="1063625" cy="215900"/>
        </a:xfrm>
        <a:prstGeom prst="roundRect">
          <a:avLst/>
        </a:prstGeom>
        <a:solidFill>
          <a:srgbClr val="E3EBF4"/>
        </a:solidFill>
        <a:ln w="12700">
          <a:solidFill>
            <a:srgbClr val="787878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0" rIns="25400" bIns="0" rtlCol="0" anchor="ctr"/>
        <a:lstStyle/>
        <a:p>
          <a:pPr algn="ctr"/>
          <a:r>
            <a:rPr lang="nl-NL" sz="900" b="1">
              <a:solidFill>
                <a:srgbClr val="142D4E"/>
              </a:solidFill>
              <a:latin typeface="Aptos" panose="020B0004020202020204" pitchFamily="34" charset="0"/>
            </a:rPr>
            <a:t>PO opvolgen</a:t>
          </a:r>
        </a:p>
      </xdr:txBody>
    </xdr:sp>
    <xdr:clientData/>
  </xdr:twoCellAnchor>
  <xdr:twoCellAnchor>
    <xdr:from>
      <xdr:col>9</xdr:col>
      <xdr:colOff>25400</xdr:colOff>
      <xdr:row>7</xdr:row>
      <xdr:rowOff>25400</xdr:rowOff>
    </xdr:from>
    <xdr:to>
      <xdr:col>9</xdr:col>
      <xdr:colOff>790000</xdr:colOff>
      <xdr:row>7</xdr:row>
      <xdr:rowOff>292100</xdr:rowOff>
    </xdr:to>
    <xdr:sp macro="[0]!OpvolgenPO" textlink="">
      <xdr:nvSpPr>
        <xdr:cNvPr id="3104" name="btnPOOpvolg_8">
          <a:extLst>
            <a:ext uri="{FF2B5EF4-FFF2-40B4-BE49-F238E27FC236}">
              <a16:creationId xmlns:a16="http://schemas.microsoft.com/office/drawing/2014/main" id="{78141E34-E99D-F4DA-3E38-7F6CBEC7B6D1}"/>
            </a:ext>
          </a:extLst>
        </xdr:cNvPr>
        <xdr:cNvSpPr/>
      </xdr:nvSpPr>
      <xdr:spPr>
        <a:xfrm>
          <a:off x="12188825" y="2006600"/>
          <a:ext cx="1063625" cy="215900"/>
        </a:xfrm>
        <a:prstGeom prst="roundRect">
          <a:avLst/>
        </a:prstGeom>
        <a:solidFill>
          <a:srgbClr val="E3EBF4"/>
        </a:solidFill>
        <a:ln w="12700">
          <a:solidFill>
            <a:srgbClr val="787878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0" rIns="25400" bIns="0" rtlCol="0" anchor="ctr"/>
        <a:lstStyle/>
        <a:p>
          <a:pPr algn="ctr"/>
          <a:r>
            <a:rPr lang="nl-NL" sz="900" b="1">
              <a:solidFill>
                <a:srgbClr val="142D4E"/>
              </a:solidFill>
              <a:latin typeface="Aptos" panose="020B0004020202020204" pitchFamily="34" charset="0"/>
            </a:rPr>
            <a:t>PO opvolgen</a:t>
          </a:r>
        </a:p>
      </xdr:txBody>
    </xdr:sp>
    <xdr:clientData/>
  </xdr:twoCellAnchor>
  <xdr:twoCellAnchor>
    <xdr:from>
      <xdr:col>9</xdr:col>
      <xdr:colOff>25400</xdr:colOff>
      <xdr:row>8</xdr:row>
      <xdr:rowOff>25400</xdr:rowOff>
    </xdr:from>
    <xdr:to>
      <xdr:col>9</xdr:col>
      <xdr:colOff>790000</xdr:colOff>
      <xdr:row>8</xdr:row>
      <xdr:rowOff>292100</xdr:rowOff>
    </xdr:to>
    <xdr:sp macro="[0]!OpvolgenPO" textlink="">
      <xdr:nvSpPr>
        <xdr:cNvPr id="3105" name="btnPOOpvolg_9">
          <a:extLst>
            <a:ext uri="{FF2B5EF4-FFF2-40B4-BE49-F238E27FC236}">
              <a16:creationId xmlns:a16="http://schemas.microsoft.com/office/drawing/2014/main" id="{90E03B51-D673-E233-A9EB-A5834E17119E}"/>
            </a:ext>
          </a:extLst>
        </xdr:cNvPr>
        <xdr:cNvSpPr/>
      </xdr:nvSpPr>
      <xdr:spPr>
        <a:xfrm>
          <a:off x="12188825" y="2273300"/>
          <a:ext cx="1063625" cy="215900"/>
        </a:xfrm>
        <a:prstGeom prst="roundRect">
          <a:avLst/>
        </a:prstGeom>
        <a:solidFill>
          <a:srgbClr val="E3EBF4"/>
        </a:solidFill>
        <a:ln w="12700">
          <a:solidFill>
            <a:srgbClr val="787878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0" rIns="25400" bIns="0" rtlCol="0" anchor="ctr"/>
        <a:lstStyle/>
        <a:p>
          <a:pPr algn="ctr"/>
          <a:r>
            <a:rPr lang="nl-NL" sz="900" b="1">
              <a:solidFill>
                <a:srgbClr val="142D4E"/>
              </a:solidFill>
              <a:latin typeface="Aptos" panose="020B0004020202020204" pitchFamily="34" charset="0"/>
            </a:rPr>
            <a:t>PO opvolgen</a:t>
          </a:r>
        </a:p>
      </xdr:txBody>
    </xdr:sp>
    <xdr:clientData/>
  </xdr:twoCellAnchor>
  <xdr:twoCellAnchor>
    <xdr:from>
      <xdr:col>9</xdr:col>
      <xdr:colOff>25400</xdr:colOff>
      <xdr:row>9</xdr:row>
      <xdr:rowOff>25400</xdr:rowOff>
    </xdr:from>
    <xdr:to>
      <xdr:col>9</xdr:col>
      <xdr:colOff>790000</xdr:colOff>
      <xdr:row>9</xdr:row>
      <xdr:rowOff>292100</xdr:rowOff>
    </xdr:to>
    <xdr:sp macro="[0]!OpvolgenPO" textlink="">
      <xdr:nvSpPr>
        <xdr:cNvPr id="3106" name="btnPOOpvolg_10">
          <a:extLst>
            <a:ext uri="{FF2B5EF4-FFF2-40B4-BE49-F238E27FC236}">
              <a16:creationId xmlns:a16="http://schemas.microsoft.com/office/drawing/2014/main" id="{4CB2DAB9-4448-F759-FDFD-263B86D7E8EE}"/>
            </a:ext>
          </a:extLst>
        </xdr:cNvPr>
        <xdr:cNvSpPr/>
      </xdr:nvSpPr>
      <xdr:spPr>
        <a:xfrm>
          <a:off x="12188825" y="2540000"/>
          <a:ext cx="1063625" cy="215900"/>
        </a:xfrm>
        <a:prstGeom prst="roundRect">
          <a:avLst/>
        </a:prstGeom>
        <a:solidFill>
          <a:srgbClr val="E3EBF4"/>
        </a:solidFill>
        <a:ln w="12700">
          <a:solidFill>
            <a:srgbClr val="787878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0" rIns="25400" bIns="0" rtlCol="0" anchor="ctr"/>
        <a:lstStyle/>
        <a:p>
          <a:pPr algn="ctr"/>
          <a:r>
            <a:rPr lang="nl-NL" sz="900" b="1">
              <a:solidFill>
                <a:srgbClr val="142D4E"/>
              </a:solidFill>
              <a:latin typeface="Aptos" panose="020B0004020202020204" pitchFamily="34" charset="0"/>
            </a:rPr>
            <a:t>PO opvolgen</a:t>
          </a:r>
        </a:p>
      </xdr:txBody>
    </xdr:sp>
    <xdr:clientData/>
  </xdr:twoCellAnchor>
  <xdr:twoCellAnchor>
    <xdr:from>
      <xdr:col>9</xdr:col>
      <xdr:colOff>25400</xdr:colOff>
      <xdr:row>10</xdr:row>
      <xdr:rowOff>25400</xdr:rowOff>
    </xdr:from>
    <xdr:to>
      <xdr:col>9</xdr:col>
      <xdr:colOff>790000</xdr:colOff>
      <xdr:row>10</xdr:row>
      <xdr:rowOff>292100</xdr:rowOff>
    </xdr:to>
    <xdr:sp macro="[0]!OpvolgenPO" textlink="">
      <xdr:nvSpPr>
        <xdr:cNvPr id="3107" name="btnPOOpvolg_11">
          <a:extLst>
            <a:ext uri="{FF2B5EF4-FFF2-40B4-BE49-F238E27FC236}">
              <a16:creationId xmlns:a16="http://schemas.microsoft.com/office/drawing/2014/main" id="{80D88F96-7C55-7619-9E2D-C7091BB48158}"/>
            </a:ext>
          </a:extLst>
        </xdr:cNvPr>
        <xdr:cNvSpPr/>
      </xdr:nvSpPr>
      <xdr:spPr>
        <a:xfrm>
          <a:off x="12188825" y="2806700"/>
          <a:ext cx="1063625" cy="215900"/>
        </a:xfrm>
        <a:prstGeom prst="roundRect">
          <a:avLst/>
        </a:prstGeom>
        <a:solidFill>
          <a:srgbClr val="E3EBF4"/>
        </a:solidFill>
        <a:ln w="12700">
          <a:solidFill>
            <a:srgbClr val="787878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0" rIns="25400" bIns="0" rtlCol="0" anchor="ctr"/>
        <a:lstStyle/>
        <a:p>
          <a:pPr algn="ctr"/>
          <a:r>
            <a:rPr lang="nl-NL" sz="900" b="1">
              <a:solidFill>
                <a:srgbClr val="142D4E"/>
              </a:solidFill>
              <a:latin typeface="Aptos" panose="020B0004020202020204" pitchFamily="34" charset="0"/>
            </a:rPr>
            <a:t>PO opvolgen</a:t>
          </a:r>
        </a:p>
      </xdr:txBody>
    </xdr:sp>
    <xdr:clientData/>
  </xdr:twoCellAnchor>
  <xdr:twoCellAnchor>
    <xdr:from>
      <xdr:col>9</xdr:col>
      <xdr:colOff>25400</xdr:colOff>
      <xdr:row>11</xdr:row>
      <xdr:rowOff>25400</xdr:rowOff>
    </xdr:from>
    <xdr:to>
      <xdr:col>9</xdr:col>
      <xdr:colOff>790000</xdr:colOff>
      <xdr:row>11</xdr:row>
      <xdr:rowOff>292100</xdr:rowOff>
    </xdr:to>
    <xdr:sp macro="[0]!OpvolgenPO" textlink="">
      <xdr:nvSpPr>
        <xdr:cNvPr id="3108" name="btnPOOpvolg_12">
          <a:extLst>
            <a:ext uri="{FF2B5EF4-FFF2-40B4-BE49-F238E27FC236}">
              <a16:creationId xmlns:a16="http://schemas.microsoft.com/office/drawing/2014/main" id="{F921A160-31DA-AE7D-3D86-F7E73C6D9A09}"/>
            </a:ext>
          </a:extLst>
        </xdr:cNvPr>
        <xdr:cNvSpPr/>
      </xdr:nvSpPr>
      <xdr:spPr>
        <a:xfrm>
          <a:off x="12188825" y="3073400"/>
          <a:ext cx="1063625" cy="215900"/>
        </a:xfrm>
        <a:prstGeom prst="roundRect">
          <a:avLst/>
        </a:prstGeom>
        <a:solidFill>
          <a:srgbClr val="E3EBF4"/>
        </a:solidFill>
        <a:ln w="12700">
          <a:solidFill>
            <a:srgbClr val="787878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0" rIns="25400" bIns="0" rtlCol="0" anchor="ctr"/>
        <a:lstStyle/>
        <a:p>
          <a:pPr algn="ctr"/>
          <a:r>
            <a:rPr lang="nl-NL" sz="900" b="1">
              <a:solidFill>
                <a:srgbClr val="142D4E"/>
              </a:solidFill>
              <a:latin typeface="Aptos" panose="020B0004020202020204" pitchFamily="34" charset="0"/>
            </a:rPr>
            <a:t>PO opvolgen</a:t>
          </a:r>
        </a:p>
      </xdr:txBody>
    </xdr:sp>
    <xdr:clientData/>
  </xdr:twoCellAnchor>
  <xdr:twoCellAnchor>
    <xdr:from>
      <xdr:col>9</xdr:col>
      <xdr:colOff>25400</xdr:colOff>
      <xdr:row>12</xdr:row>
      <xdr:rowOff>25400</xdr:rowOff>
    </xdr:from>
    <xdr:to>
      <xdr:col>9</xdr:col>
      <xdr:colOff>790000</xdr:colOff>
      <xdr:row>12</xdr:row>
      <xdr:rowOff>292100</xdr:rowOff>
    </xdr:to>
    <xdr:sp macro="[0]!OpvolgenPO" textlink="">
      <xdr:nvSpPr>
        <xdr:cNvPr id="3109" name="btnPOOpvolg_13">
          <a:extLst>
            <a:ext uri="{FF2B5EF4-FFF2-40B4-BE49-F238E27FC236}">
              <a16:creationId xmlns:a16="http://schemas.microsoft.com/office/drawing/2014/main" id="{4247FE91-BD10-49A1-7977-ECEE1813D751}"/>
            </a:ext>
          </a:extLst>
        </xdr:cNvPr>
        <xdr:cNvSpPr/>
      </xdr:nvSpPr>
      <xdr:spPr>
        <a:xfrm>
          <a:off x="12188825" y="3340100"/>
          <a:ext cx="1063625" cy="215900"/>
        </a:xfrm>
        <a:prstGeom prst="roundRect">
          <a:avLst/>
        </a:prstGeom>
        <a:solidFill>
          <a:srgbClr val="E3EBF4"/>
        </a:solidFill>
        <a:ln w="12700">
          <a:solidFill>
            <a:srgbClr val="787878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0" rIns="25400" bIns="0" rtlCol="0" anchor="ctr"/>
        <a:lstStyle/>
        <a:p>
          <a:pPr algn="ctr"/>
          <a:r>
            <a:rPr lang="nl-NL" sz="900" b="1">
              <a:solidFill>
                <a:srgbClr val="142D4E"/>
              </a:solidFill>
              <a:latin typeface="Aptos" panose="020B0004020202020204" pitchFamily="34" charset="0"/>
            </a:rPr>
            <a:t>PO opvolgen</a:t>
          </a:r>
        </a:p>
      </xdr:txBody>
    </xdr:sp>
    <xdr:clientData/>
  </xdr:twoCellAnchor>
  <xdr:twoCellAnchor>
    <xdr:from>
      <xdr:col>9</xdr:col>
      <xdr:colOff>25400</xdr:colOff>
      <xdr:row>13</xdr:row>
      <xdr:rowOff>25400</xdr:rowOff>
    </xdr:from>
    <xdr:to>
      <xdr:col>9</xdr:col>
      <xdr:colOff>790000</xdr:colOff>
      <xdr:row>13</xdr:row>
      <xdr:rowOff>292100</xdr:rowOff>
    </xdr:to>
    <xdr:sp macro="[0]!OpvolgenPO" textlink="">
      <xdr:nvSpPr>
        <xdr:cNvPr id="3110" name="btnPOOpvolg_14">
          <a:extLst>
            <a:ext uri="{FF2B5EF4-FFF2-40B4-BE49-F238E27FC236}">
              <a16:creationId xmlns:a16="http://schemas.microsoft.com/office/drawing/2014/main" id="{FFCC74F3-242F-9DA4-3351-0EEA3302292D}"/>
            </a:ext>
          </a:extLst>
        </xdr:cNvPr>
        <xdr:cNvSpPr/>
      </xdr:nvSpPr>
      <xdr:spPr>
        <a:xfrm>
          <a:off x="12188825" y="3606800"/>
          <a:ext cx="1063625" cy="215900"/>
        </a:xfrm>
        <a:prstGeom prst="roundRect">
          <a:avLst/>
        </a:prstGeom>
        <a:solidFill>
          <a:srgbClr val="E3EBF4"/>
        </a:solidFill>
        <a:ln w="12700">
          <a:solidFill>
            <a:srgbClr val="787878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0" rIns="25400" bIns="0" rtlCol="0" anchor="ctr"/>
        <a:lstStyle/>
        <a:p>
          <a:pPr algn="ctr"/>
          <a:r>
            <a:rPr lang="nl-NL" sz="900" b="1">
              <a:solidFill>
                <a:srgbClr val="142D4E"/>
              </a:solidFill>
              <a:latin typeface="Aptos" panose="020B0004020202020204" pitchFamily="34" charset="0"/>
            </a:rPr>
            <a:t>PO opvolgen</a:t>
          </a:r>
        </a:p>
      </xdr:txBody>
    </xdr:sp>
    <xdr:clientData/>
  </xdr:twoCellAnchor>
  <xdr:twoCellAnchor>
    <xdr:from>
      <xdr:col>9</xdr:col>
      <xdr:colOff>25400</xdr:colOff>
      <xdr:row>14</xdr:row>
      <xdr:rowOff>25400</xdr:rowOff>
    </xdr:from>
    <xdr:to>
      <xdr:col>9</xdr:col>
      <xdr:colOff>790000</xdr:colOff>
      <xdr:row>14</xdr:row>
      <xdr:rowOff>292100</xdr:rowOff>
    </xdr:to>
    <xdr:sp macro="[0]!OpvolgenPO" textlink="">
      <xdr:nvSpPr>
        <xdr:cNvPr id="3111" name="btnPOOpvolg_15">
          <a:extLst>
            <a:ext uri="{FF2B5EF4-FFF2-40B4-BE49-F238E27FC236}">
              <a16:creationId xmlns:a16="http://schemas.microsoft.com/office/drawing/2014/main" id="{B56B7A65-432E-3E32-57FC-F8C5CCCB68F9}"/>
            </a:ext>
          </a:extLst>
        </xdr:cNvPr>
        <xdr:cNvSpPr/>
      </xdr:nvSpPr>
      <xdr:spPr>
        <a:xfrm>
          <a:off x="12188825" y="3873500"/>
          <a:ext cx="1063625" cy="215900"/>
        </a:xfrm>
        <a:prstGeom prst="roundRect">
          <a:avLst/>
        </a:prstGeom>
        <a:solidFill>
          <a:srgbClr val="E3EBF4"/>
        </a:solidFill>
        <a:ln w="12700">
          <a:solidFill>
            <a:srgbClr val="787878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0" rIns="25400" bIns="0" rtlCol="0" anchor="ctr"/>
        <a:lstStyle/>
        <a:p>
          <a:pPr algn="ctr"/>
          <a:r>
            <a:rPr lang="nl-NL" sz="900" b="1">
              <a:solidFill>
                <a:srgbClr val="142D4E"/>
              </a:solidFill>
              <a:latin typeface="Aptos" panose="020B0004020202020204" pitchFamily="34" charset="0"/>
            </a:rPr>
            <a:t>PO opvolgen</a:t>
          </a:r>
        </a:p>
      </xdr:txBody>
    </xdr:sp>
    <xdr:clientData/>
  </xdr:twoCellAnchor>
  <xdr:twoCellAnchor>
    <xdr:from>
      <xdr:col>10</xdr:col>
      <xdr:colOff>25400</xdr:colOff>
      <xdr:row>0</xdr:row>
      <xdr:rowOff>25400</xdr:rowOff>
    </xdr:from>
    <xdr:to>
      <xdr:col>11</xdr:col>
      <xdr:colOff>558800</xdr:colOff>
      <xdr:row>0</xdr:row>
      <xdr:rowOff>355600</xdr:rowOff>
    </xdr:to>
    <xdr:sp macro="[0]!StartControleVijfSeconden" textlink="">
      <xdr:nvSpPr>
        <xdr:cNvPr id="2" name="btnControle5Sec">
          <a:extLst>
            <a:ext uri="{FF2B5EF4-FFF2-40B4-BE49-F238E27FC236}">
              <a16:creationId xmlns:a16="http://schemas.microsoft.com/office/drawing/2014/main" id="{5F4AB0A0-22E4-CD02-DCC9-C7F333872C20}"/>
            </a:ext>
          </a:extLst>
        </xdr:cNvPr>
        <xdr:cNvSpPr/>
      </xdr:nvSpPr>
      <xdr:spPr>
        <a:xfrm>
          <a:off x="13303250" y="25400"/>
          <a:ext cx="1143000" cy="330200"/>
        </a:xfrm>
        <a:prstGeom prst="roundRect">
          <a:avLst/>
        </a:prstGeom>
        <a:solidFill>
          <a:srgbClr val="FFF2CC"/>
        </a:solidFill>
        <a:ln>
          <a:solidFill>
            <a:srgbClr val="787878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nl-NL" sz="900" b="1">
              <a:solidFill>
                <a:srgbClr val="000000"/>
              </a:solidFill>
            </a:rPr>
            <a:t>5 sec controleren</a:t>
          </a:r>
        </a:p>
      </xdr:txBody>
    </xdr:sp>
    <xdr:clientData/>
  </xdr:twoCellAnchor>
  <xdr:twoCellAnchor>
    <xdr:from>
      <xdr:col>9</xdr:col>
      <xdr:colOff>25400</xdr:colOff>
      <xdr:row>15</xdr:row>
      <xdr:rowOff>25400</xdr:rowOff>
    </xdr:from>
    <xdr:to>
      <xdr:col>9</xdr:col>
      <xdr:colOff>790000</xdr:colOff>
      <xdr:row>15</xdr:row>
      <xdr:rowOff>292100</xdr:rowOff>
    </xdr:to>
    <xdr:sp macro="[0]!OpvolgenPO" textlink="">
      <xdr:nvSpPr>
        <xdr:cNvPr id="5" name="btnPOOpvolg_16">
          <a:extLst>
            <a:ext uri="{FF2B5EF4-FFF2-40B4-BE49-F238E27FC236}">
              <a16:creationId xmlns:a16="http://schemas.microsoft.com/office/drawing/2014/main" id="{46EB6505-D1E4-AF00-ED71-4D3F633FA571}"/>
            </a:ext>
          </a:extLst>
        </xdr:cNvPr>
        <xdr:cNvSpPr/>
      </xdr:nvSpPr>
      <xdr:spPr>
        <a:xfrm>
          <a:off x="12188825" y="4140200"/>
          <a:ext cx="1063625" cy="215900"/>
        </a:xfrm>
        <a:prstGeom prst="roundRect">
          <a:avLst/>
        </a:prstGeom>
        <a:solidFill>
          <a:srgbClr val="E3EBF4"/>
        </a:solidFill>
        <a:ln w="12700">
          <a:solidFill>
            <a:srgbClr val="787878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0" rIns="25400" bIns="0" rtlCol="0" anchor="ctr"/>
        <a:lstStyle/>
        <a:p>
          <a:pPr algn="ctr"/>
          <a:r>
            <a:rPr lang="nl-NL" sz="900" b="1">
              <a:solidFill>
                <a:srgbClr val="142D4E"/>
              </a:solidFill>
              <a:latin typeface="Aptos" panose="020B0004020202020204" pitchFamily="34" charset="0"/>
            </a:rPr>
            <a:t>PO opvolgen</a:t>
          </a:r>
        </a:p>
      </xdr:txBody>
    </xdr:sp>
    <xdr:clientData/>
  </xdr:twoCellAnchor>
  <xdr:twoCellAnchor>
    <xdr:from>
      <xdr:col>9</xdr:col>
      <xdr:colOff>25400</xdr:colOff>
      <xdr:row>17</xdr:row>
      <xdr:rowOff>25400</xdr:rowOff>
    </xdr:from>
    <xdr:to>
      <xdr:col>9</xdr:col>
      <xdr:colOff>790000</xdr:colOff>
      <xdr:row>17</xdr:row>
      <xdr:rowOff>292100</xdr:rowOff>
    </xdr:to>
    <xdr:sp macro="[0]!OpvolgenPO" textlink="">
      <xdr:nvSpPr>
        <xdr:cNvPr id="11" name="btnPOOpvolg_18">
          <a:extLst>
            <a:ext uri="{FF2B5EF4-FFF2-40B4-BE49-F238E27FC236}">
              <a16:creationId xmlns:a16="http://schemas.microsoft.com/office/drawing/2014/main" id="{440D98B4-0EAB-5144-B5E5-721043CFBF8C}"/>
            </a:ext>
          </a:extLst>
        </xdr:cNvPr>
        <xdr:cNvSpPr/>
      </xdr:nvSpPr>
      <xdr:spPr>
        <a:xfrm>
          <a:off x="12188825" y="4673600"/>
          <a:ext cx="1063625" cy="215900"/>
        </a:xfrm>
        <a:prstGeom prst="roundRect">
          <a:avLst/>
        </a:prstGeom>
        <a:solidFill>
          <a:srgbClr val="E3EBF4"/>
        </a:solidFill>
        <a:ln w="12700">
          <a:solidFill>
            <a:srgbClr val="787878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0" rIns="25400" bIns="0" rtlCol="0" anchor="ctr"/>
        <a:lstStyle/>
        <a:p>
          <a:pPr algn="ctr"/>
          <a:r>
            <a:rPr lang="nl-NL" sz="900" b="1">
              <a:solidFill>
                <a:srgbClr val="142D4E"/>
              </a:solidFill>
              <a:latin typeface="Aptos" panose="020B0004020202020204" pitchFamily="34" charset="0"/>
            </a:rPr>
            <a:t>PO opvolgen</a:t>
          </a:r>
        </a:p>
      </xdr:txBody>
    </xdr:sp>
    <xdr:clientData/>
  </xdr:twoCellAnchor>
  <xdr:twoCellAnchor>
    <xdr:from>
      <xdr:col>9</xdr:col>
      <xdr:colOff>25400</xdr:colOff>
      <xdr:row>18</xdr:row>
      <xdr:rowOff>25400</xdr:rowOff>
    </xdr:from>
    <xdr:to>
      <xdr:col>9</xdr:col>
      <xdr:colOff>790000</xdr:colOff>
      <xdr:row>18</xdr:row>
      <xdr:rowOff>292100</xdr:rowOff>
    </xdr:to>
    <xdr:sp macro="[0]!OpvolgenPO" textlink="">
      <xdr:nvSpPr>
        <xdr:cNvPr id="14" name="btnPOOpvolg_19">
          <a:extLst>
            <a:ext uri="{FF2B5EF4-FFF2-40B4-BE49-F238E27FC236}">
              <a16:creationId xmlns:a16="http://schemas.microsoft.com/office/drawing/2014/main" id="{DF657DDB-CF1A-91FF-EA43-0F44A5865946}"/>
            </a:ext>
          </a:extLst>
        </xdr:cNvPr>
        <xdr:cNvSpPr/>
      </xdr:nvSpPr>
      <xdr:spPr>
        <a:xfrm>
          <a:off x="12188825" y="4940300"/>
          <a:ext cx="1063625" cy="215900"/>
        </a:xfrm>
        <a:prstGeom prst="roundRect">
          <a:avLst/>
        </a:prstGeom>
        <a:solidFill>
          <a:srgbClr val="E3EBF4"/>
        </a:solidFill>
        <a:ln w="12700">
          <a:solidFill>
            <a:srgbClr val="787878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0" rIns="25400" bIns="0" rtlCol="0" anchor="ctr"/>
        <a:lstStyle/>
        <a:p>
          <a:pPr algn="ctr"/>
          <a:r>
            <a:rPr lang="nl-NL" sz="900" b="1">
              <a:solidFill>
                <a:srgbClr val="142D4E"/>
              </a:solidFill>
              <a:latin typeface="Aptos" panose="020B0004020202020204" pitchFamily="34" charset="0"/>
            </a:rPr>
            <a:t>PO opvolgen</a:t>
          </a:r>
        </a:p>
      </xdr:txBody>
    </xdr:sp>
    <xdr:clientData/>
  </xdr:twoCellAnchor>
  <xdr:twoCellAnchor>
    <xdr:from>
      <xdr:col>9</xdr:col>
      <xdr:colOff>25400</xdr:colOff>
      <xdr:row>16</xdr:row>
      <xdr:rowOff>25400</xdr:rowOff>
    </xdr:from>
    <xdr:to>
      <xdr:col>9</xdr:col>
      <xdr:colOff>790000</xdr:colOff>
      <xdr:row>16</xdr:row>
      <xdr:rowOff>292100</xdr:rowOff>
    </xdr:to>
    <xdr:sp macro="[0]!OpvolgenPO" textlink="">
      <xdr:nvSpPr>
        <xdr:cNvPr id="20" name="btnPOOpvolg_17">
          <a:extLst>
            <a:ext uri="{FF2B5EF4-FFF2-40B4-BE49-F238E27FC236}">
              <a16:creationId xmlns:a16="http://schemas.microsoft.com/office/drawing/2014/main" id="{82560EDB-3F49-0DB1-3C01-F0D5666FA50C}"/>
            </a:ext>
          </a:extLst>
        </xdr:cNvPr>
        <xdr:cNvSpPr/>
      </xdr:nvSpPr>
      <xdr:spPr>
        <a:xfrm>
          <a:off x="12188825" y="4406900"/>
          <a:ext cx="1063625" cy="215900"/>
        </a:xfrm>
        <a:prstGeom prst="roundRect">
          <a:avLst/>
        </a:prstGeom>
        <a:solidFill>
          <a:srgbClr val="E3EBF4"/>
        </a:solidFill>
        <a:ln w="12700">
          <a:solidFill>
            <a:srgbClr val="787878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0" rIns="25400" bIns="0" rtlCol="0" anchor="ctr"/>
        <a:lstStyle/>
        <a:p>
          <a:pPr algn="ctr"/>
          <a:r>
            <a:rPr lang="nl-NL" sz="900" b="1">
              <a:solidFill>
                <a:srgbClr val="142D4E"/>
              </a:solidFill>
              <a:latin typeface="Aptos" panose="020B0004020202020204" pitchFamily="34" charset="0"/>
            </a:rPr>
            <a:t>PO opvolgen</a:t>
          </a:r>
        </a:p>
      </xdr:txBody>
    </xdr:sp>
    <xdr:clientData/>
  </xdr:twoCellAnchor>
  <xdr:twoCellAnchor>
    <xdr:from>
      <xdr:col>9</xdr:col>
      <xdr:colOff>25400</xdr:colOff>
      <xdr:row>19</xdr:row>
      <xdr:rowOff>25400</xdr:rowOff>
    </xdr:from>
    <xdr:to>
      <xdr:col>9</xdr:col>
      <xdr:colOff>790000</xdr:colOff>
      <xdr:row>19</xdr:row>
      <xdr:rowOff>292100</xdr:rowOff>
    </xdr:to>
    <xdr:sp macro="[0]!OpvolgenPO" textlink="">
      <xdr:nvSpPr>
        <xdr:cNvPr id="6" name="btnPOOpvolg_20">
          <a:extLst>
            <a:ext uri="{FF2B5EF4-FFF2-40B4-BE49-F238E27FC236}">
              <a16:creationId xmlns:a16="http://schemas.microsoft.com/office/drawing/2014/main" id="{99DB4636-38D3-D657-BC09-882BCBA328E7}"/>
            </a:ext>
          </a:extLst>
        </xdr:cNvPr>
        <xdr:cNvSpPr/>
      </xdr:nvSpPr>
      <xdr:spPr>
        <a:xfrm>
          <a:off x="12188825" y="5207000"/>
          <a:ext cx="1063625" cy="215900"/>
        </a:xfrm>
        <a:prstGeom prst="roundRect">
          <a:avLst/>
        </a:prstGeom>
        <a:solidFill>
          <a:srgbClr val="E3EBF4"/>
        </a:solidFill>
        <a:ln w="12700">
          <a:solidFill>
            <a:srgbClr val="787878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0" rIns="25400" bIns="0" rtlCol="0" anchor="ctr"/>
        <a:lstStyle/>
        <a:p>
          <a:pPr algn="ctr"/>
          <a:r>
            <a:rPr lang="nl-NL" sz="900" b="1">
              <a:solidFill>
                <a:srgbClr val="142D4E"/>
              </a:solidFill>
              <a:latin typeface="Aptos" panose="020B0004020202020204" pitchFamily="34" charset="0"/>
            </a:rPr>
            <a:t>PO opvolgen</a:t>
          </a:r>
        </a:p>
      </xdr:txBody>
    </xdr:sp>
    <xdr:clientData/>
  </xdr:twoCellAnchor>
  <xdr:twoCellAnchor>
    <xdr:from>
      <xdr:col>9</xdr:col>
      <xdr:colOff>25400</xdr:colOff>
      <xdr:row>21</xdr:row>
      <xdr:rowOff>25400</xdr:rowOff>
    </xdr:from>
    <xdr:to>
      <xdr:col>9</xdr:col>
      <xdr:colOff>790000</xdr:colOff>
      <xdr:row>21</xdr:row>
      <xdr:rowOff>292100</xdr:rowOff>
    </xdr:to>
    <xdr:sp macro="[0]!OpvolgenPO" textlink="">
      <xdr:nvSpPr>
        <xdr:cNvPr id="12" name="btnPOOpvolg_22">
          <a:extLst>
            <a:ext uri="{FF2B5EF4-FFF2-40B4-BE49-F238E27FC236}">
              <a16:creationId xmlns:a16="http://schemas.microsoft.com/office/drawing/2014/main" id="{BEAC8374-C537-FFF5-4811-589A3A11F5CA}"/>
            </a:ext>
          </a:extLst>
        </xdr:cNvPr>
        <xdr:cNvSpPr/>
      </xdr:nvSpPr>
      <xdr:spPr>
        <a:xfrm>
          <a:off x="12188825" y="5740400"/>
          <a:ext cx="1063625" cy="215900"/>
        </a:xfrm>
        <a:prstGeom prst="roundRect">
          <a:avLst/>
        </a:prstGeom>
        <a:solidFill>
          <a:srgbClr val="E3EBF4"/>
        </a:solidFill>
        <a:ln w="12700">
          <a:solidFill>
            <a:srgbClr val="787878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0" rIns="25400" bIns="0" rtlCol="0" anchor="ctr"/>
        <a:lstStyle/>
        <a:p>
          <a:pPr algn="ctr"/>
          <a:r>
            <a:rPr lang="nl-NL" sz="900" b="1">
              <a:solidFill>
                <a:srgbClr val="142D4E"/>
              </a:solidFill>
              <a:latin typeface="Aptos" panose="020B0004020202020204" pitchFamily="34" charset="0"/>
            </a:rPr>
            <a:t>PO opvolgen</a:t>
          </a:r>
        </a:p>
      </xdr:txBody>
    </xdr:sp>
    <xdr:clientData/>
  </xdr:twoCellAnchor>
  <xdr:twoCellAnchor>
    <xdr:from>
      <xdr:col>9</xdr:col>
      <xdr:colOff>25400</xdr:colOff>
      <xdr:row>20</xdr:row>
      <xdr:rowOff>25400</xdr:rowOff>
    </xdr:from>
    <xdr:to>
      <xdr:col>9</xdr:col>
      <xdr:colOff>790000</xdr:colOff>
      <xdr:row>20</xdr:row>
      <xdr:rowOff>292100</xdr:rowOff>
    </xdr:to>
    <xdr:sp macro="[0]!OpvolgenPO" textlink="">
      <xdr:nvSpPr>
        <xdr:cNvPr id="4" name="btnPOOpvolg_21">
          <a:extLst>
            <a:ext uri="{FF2B5EF4-FFF2-40B4-BE49-F238E27FC236}">
              <a16:creationId xmlns:a16="http://schemas.microsoft.com/office/drawing/2014/main" id="{46B42F9A-15E0-629A-55FC-CA8AA1726D4D}"/>
            </a:ext>
          </a:extLst>
        </xdr:cNvPr>
        <xdr:cNvSpPr/>
      </xdr:nvSpPr>
      <xdr:spPr>
        <a:xfrm>
          <a:off x="12188825" y="5473700"/>
          <a:ext cx="1063625" cy="215900"/>
        </a:xfrm>
        <a:prstGeom prst="roundRect">
          <a:avLst/>
        </a:prstGeom>
        <a:solidFill>
          <a:srgbClr val="E3EBF4"/>
        </a:solidFill>
        <a:ln w="12700">
          <a:solidFill>
            <a:srgbClr val="787878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0" rIns="25400" bIns="0" rtlCol="0" anchor="ctr"/>
        <a:lstStyle/>
        <a:p>
          <a:pPr algn="ctr"/>
          <a:r>
            <a:rPr lang="nl-NL" sz="900" b="1">
              <a:solidFill>
                <a:srgbClr val="142D4E"/>
              </a:solidFill>
              <a:latin typeface="Aptos" panose="020B0004020202020204" pitchFamily="34" charset="0"/>
            </a:rPr>
            <a:t>PO opvolgen</a:t>
          </a:r>
        </a:p>
      </xdr:txBody>
    </xdr:sp>
    <xdr:clientData/>
  </xdr:twoCellAnchor>
  <xdr:twoCellAnchor>
    <xdr:from>
      <xdr:col>9</xdr:col>
      <xdr:colOff>25400</xdr:colOff>
      <xdr:row>22</xdr:row>
      <xdr:rowOff>25400</xdr:rowOff>
    </xdr:from>
    <xdr:to>
      <xdr:col>9</xdr:col>
      <xdr:colOff>790000</xdr:colOff>
      <xdr:row>22</xdr:row>
      <xdr:rowOff>292100</xdr:rowOff>
    </xdr:to>
    <xdr:sp macro="[0]!OpvolgenPO" textlink="">
      <xdr:nvSpPr>
        <xdr:cNvPr id="15" name="btnPOOpvolg_23">
          <a:extLst>
            <a:ext uri="{FF2B5EF4-FFF2-40B4-BE49-F238E27FC236}">
              <a16:creationId xmlns:a16="http://schemas.microsoft.com/office/drawing/2014/main" id="{C247C463-1FAF-F486-A85A-67E8267F9419}"/>
            </a:ext>
          </a:extLst>
        </xdr:cNvPr>
        <xdr:cNvSpPr/>
      </xdr:nvSpPr>
      <xdr:spPr>
        <a:xfrm>
          <a:off x="12188825" y="6007100"/>
          <a:ext cx="1063625" cy="215900"/>
        </a:xfrm>
        <a:prstGeom prst="roundRect">
          <a:avLst/>
        </a:prstGeom>
        <a:solidFill>
          <a:srgbClr val="E3EBF4"/>
        </a:solidFill>
        <a:ln w="12700">
          <a:solidFill>
            <a:srgbClr val="787878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0" rIns="25400" bIns="0" rtlCol="0" anchor="ctr"/>
        <a:lstStyle/>
        <a:p>
          <a:pPr algn="ctr"/>
          <a:r>
            <a:rPr lang="nl-NL" sz="900" b="1">
              <a:solidFill>
                <a:srgbClr val="142D4E"/>
              </a:solidFill>
              <a:latin typeface="Aptos" panose="020B0004020202020204" pitchFamily="34" charset="0"/>
            </a:rPr>
            <a:t>PO opvolgen</a:t>
          </a:r>
        </a:p>
      </xdr:txBody>
    </xdr:sp>
    <xdr:clientData/>
  </xdr:twoCellAnchor>
  <xdr:twoCellAnchor>
    <xdr:from>
      <xdr:col>7</xdr:col>
      <xdr:colOff>25400</xdr:colOff>
      <xdr:row>1</xdr:row>
      <xdr:rowOff>25400</xdr:rowOff>
    </xdr:from>
    <xdr:to>
      <xdr:col>7</xdr:col>
      <xdr:colOff>790000</xdr:colOff>
      <xdr:row>1</xdr:row>
      <xdr:rowOff>292100</xdr:rowOff>
    </xdr:to>
    <xdr:sp macro="[0]!RegelNaarArchief" textlink="">
      <xdr:nvSpPr>
        <xdr:cNvPr id="3" name="btnBinnen_2">
          <a:extLst>
            <a:ext uri="{FF2B5EF4-FFF2-40B4-BE49-F238E27FC236}">
              <a16:creationId xmlns:a16="http://schemas.microsoft.com/office/drawing/2014/main" id="{9E716232-2A92-EF7E-B54F-2C6640399B7D}"/>
            </a:ext>
          </a:extLst>
        </xdr:cNvPr>
        <xdr:cNvSpPr/>
      </xdr:nvSpPr>
      <xdr:spPr>
        <a:xfrm>
          <a:off x="10493375" y="406400"/>
          <a:ext cx="796925" cy="215900"/>
        </a:xfrm>
        <a:prstGeom prst="roundRect">
          <a:avLst/>
        </a:prstGeom>
        <a:solidFill>
          <a:srgbClr val="142D4E"/>
        </a:solidFill>
        <a:ln>
          <a:solidFill>
            <a:srgbClr val="787878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nl-NL" sz="900" b="1">
              <a:solidFill>
                <a:srgbClr val="FFFFFF"/>
              </a:solidFill>
            </a:rPr>
            <a:t>Binnen</a:t>
          </a:r>
        </a:p>
      </xdr:txBody>
    </xdr:sp>
    <xdr:clientData/>
  </xdr:twoCellAnchor>
  <xdr:twoCellAnchor>
    <xdr:from>
      <xdr:col>8</xdr:col>
      <xdr:colOff>25400</xdr:colOff>
      <xdr:row>1</xdr:row>
      <xdr:rowOff>25400</xdr:rowOff>
    </xdr:from>
    <xdr:to>
      <xdr:col>8</xdr:col>
      <xdr:colOff>790000</xdr:colOff>
      <xdr:row>1</xdr:row>
      <xdr:rowOff>292100</xdr:rowOff>
    </xdr:to>
    <xdr:sp macro="[0]!MaakEmailOrderbehandelaar" textlink="">
      <xdr:nvSpPr>
        <xdr:cNvPr id="7" name="btnEmail_2">
          <a:extLst>
            <a:ext uri="{FF2B5EF4-FFF2-40B4-BE49-F238E27FC236}">
              <a16:creationId xmlns:a16="http://schemas.microsoft.com/office/drawing/2014/main" id="{8B66D1FC-43F6-78BB-EB08-2B58AE3ED551}"/>
            </a:ext>
          </a:extLst>
        </xdr:cNvPr>
        <xdr:cNvSpPr/>
      </xdr:nvSpPr>
      <xdr:spPr>
        <a:xfrm>
          <a:off x="11341100" y="406400"/>
          <a:ext cx="796925" cy="215900"/>
        </a:xfrm>
        <a:prstGeom prst="roundRect">
          <a:avLst/>
        </a:prstGeom>
        <a:solidFill>
          <a:srgbClr val="007F82"/>
        </a:solidFill>
        <a:ln>
          <a:solidFill>
            <a:srgbClr val="787878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nl-NL" sz="900" b="1">
              <a:solidFill>
                <a:srgbClr val="FFFFFF"/>
              </a:solidFill>
            </a:rPr>
            <a:t>E-mail</a:t>
          </a:r>
        </a:p>
      </xdr:txBody>
    </xdr:sp>
    <xdr:clientData/>
  </xdr:twoCellAnchor>
  <xdr:twoCellAnchor>
    <xdr:from>
      <xdr:col>7</xdr:col>
      <xdr:colOff>25400</xdr:colOff>
      <xdr:row>2</xdr:row>
      <xdr:rowOff>25400</xdr:rowOff>
    </xdr:from>
    <xdr:to>
      <xdr:col>7</xdr:col>
      <xdr:colOff>790000</xdr:colOff>
      <xdr:row>2</xdr:row>
      <xdr:rowOff>292100</xdr:rowOff>
    </xdr:to>
    <xdr:sp macro="[0]!RegelNaarArchief" textlink="">
      <xdr:nvSpPr>
        <xdr:cNvPr id="9" name="btnBinnen_3">
          <a:extLst>
            <a:ext uri="{FF2B5EF4-FFF2-40B4-BE49-F238E27FC236}">
              <a16:creationId xmlns:a16="http://schemas.microsoft.com/office/drawing/2014/main" id="{8CCE602B-3314-942D-DAF3-172AA09D2B1D}"/>
            </a:ext>
          </a:extLst>
        </xdr:cNvPr>
        <xdr:cNvSpPr/>
      </xdr:nvSpPr>
      <xdr:spPr>
        <a:xfrm>
          <a:off x="10493375" y="673100"/>
          <a:ext cx="796925" cy="215900"/>
        </a:xfrm>
        <a:prstGeom prst="roundRect">
          <a:avLst/>
        </a:prstGeom>
        <a:solidFill>
          <a:srgbClr val="142D4E"/>
        </a:solidFill>
        <a:ln>
          <a:solidFill>
            <a:srgbClr val="787878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nl-NL" sz="900" b="1">
              <a:solidFill>
                <a:srgbClr val="FFFFFF"/>
              </a:solidFill>
            </a:rPr>
            <a:t>Binnen</a:t>
          </a:r>
        </a:p>
      </xdr:txBody>
    </xdr:sp>
    <xdr:clientData/>
  </xdr:twoCellAnchor>
  <xdr:twoCellAnchor>
    <xdr:from>
      <xdr:col>8</xdr:col>
      <xdr:colOff>25400</xdr:colOff>
      <xdr:row>2</xdr:row>
      <xdr:rowOff>25400</xdr:rowOff>
    </xdr:from>
    <xdr:to>
      <xdr:col>8</xdr:col>
      <xdr:colOff>790000</xdr:colOff>
      <xdr:row>2</xdr:row>
      <xdr:rowOff>292100</xdr:rowOff>
    </xdr:to>
    <xdr:sp macro="[0]!MaakEmailOrderbehandelaar" textlink="">
      <xdr:nvSpPr>
        <xdr:cNvPr id="10" name="btnEmail_3">
          <a:extLst>
            <a:ext uri="{FF2B5EF4-FFF2-40B4-BE49-F238E27FC236}">
              <a16:creationId xmlns:a16="http://schemas.microsoft.com/office/drawing/2014/main" id="{81369201-7574-B5F6-ECE7-53FFB25D2A3D}"/>
            </a:ext>
          </a:extLst>
        </xdr:cNvPr>
        <xdr:cNvSpPr/>
      </xdr:nvSpPr>
      <xdr:spPr>
        <a:xfrm>
          <a:off x="11341100" y="673100"/>
          <a:ext cx="796925" cy="215900"/>
        </a:xfrm>
        <a:prstGeom prst="roundRect">
          <a:avLst/>
        </a:prstGeom>
        <a:solidFill>
          <a:srgbClr val="007F82"/>
        </a:solidFill>
        <a:ln>
          <a:solidFill>
            <a:srgbClr val="787878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nl-NL" sz="900" b="1">
              <a:solidFill>
                <a:srgbClr val="FFFFFF"/>
              </a:solidFill>
            </a:rPr>
            <a:t>E-mail</a:t>
          </a:r>
        </a:p>
      </xdr:txBody>
    </xdr:sp>
    <xdr:clientData/>
  </xdr:twoCellAnchor>
  <xdr:twoCellAnchor>
    <xdr:from>
      <xdr:col>7</xdr:col>
      <xdr:colOff>25400</xdr:colOff>
      <xdr:row>3</xdr:row>
      <xdr:rowOff>25400</xdr:rowOff>
    </xdr:from>
    <xdr:to>
      <xdr:col>7</xdr:col>
      <xdr:colOff>790000</xdr:colOff>
      <xdr:row>3</xdr:row>
      <xdr:rowOff>292100</xdr:rowOff>
    </xdr:to>
    <xdr:sp macro="[0]!RegelNaarArchief" textlink="">
      <xdr:nvSpPr>
        <xdr:cNvPr id="13" name="btnBinnen_4">
          <a:extLst>
            <a:ext uri="{FF2B5EF4-FFF2-40B4-BE49-F238E27FC236}">
              <a16:creationId xmlns:a16="http://schemas.microsoft.com/office/drawing/2014/main" id="{2B9D0841-6EDC-3DAC-1402-1F2151DC1CE8}"/>
            </a:ext>
          </a:extLst>
        </xdr:cNvPr>
        <xdr:cNvSpPr/>
      </xdr:nvSpPr>
      <xdr:spPr>
        <a:xfrm>
          <a:off x="10493375" y="939800"/>
          <a:ext cx="796925" cy="215900"/>
        </a:xfrm>
        <a:prstGeom prst="roundRect">
          <a:avLst/>
        </a:prstGeom>
        <a:solidFill>
          <a:srgbClr val="142D4E"/>
        </a:solidFill>
        <a:ln>
          <a:solidFill>
            <a:srgbClr val="787878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nl-NL" sz="900" b="1">
              <a:solidFill>
                <a:srgbClr val="FFFFFF"/>
              </a:solidFill>
            </a:rPr>
            <a:t>Binnen</a:t>
          </a:r>
        </a:p>
      </xdr:txBody>
    </xdr:sp>
    <xdr:clientData/>
  </xdr:twoCellAnchor>
  <xdr:twoCellAnchor>
    <xdr:from>
      <xdr:col>8</xdr:col>
      <xdr:colOff>25400</xdr:colOff>
      <xdr:row>3</xdr:row>
      <xdr:rowOff>25400</xdr:rowOff>
    </xdr:from>
    <xdr:to>
      <xdr:col>8</xdr:col>
      <xdr:colOff>790000</xdr:colOff>
      <xdr:row>3</xdr:row>
      <xdr:rowOff>292100</xdr:rowOff>
    </xdr:to>
    <xdr:sp macro="[0]!MaakEmailOrderbehandelaar" textlink="">
      <xdr:nvSpPr>
        <xdr:cNvPr id="16" name="btnEmail_4">
          <a:extLst>
            <a:ext uri="{FF2B5EF4-FFF2-40B4-BE49-F238E27FC236}">
              <a16:creationId xmlns:a16="http://schemas.microsoft.com/office/drawing/2014/main" id="{0CBB80C0-79ED-5EDA-727C-C3CC69E0A049}"/>
            </a:ext>
          </a:extLst>
        </xdr:cNvPr>
        <xdr:cNvSpPr/>
      </xdr:nvSpPr>
      <xdr:spPr>
        <a:xfrm>
          <a:off x="11341100" y="939800"/>
          <a:ext cx="796925" cy="215900"/>
        </a:xfrm>
        <a:prstGeom prst="roundRect">
          <a:avLst/>
        </a:prstGeom>
        <a:solidFill>
          <a:srgbClr val="007F82"/>
        </a:solidFill>
        <a:ln>
          <a:solidFill>
            <a:srgbClr val="787878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nl-NL" sz="900" b="1">
              <a:solidFill>
                <a:srgbClr val="FFFFFF"/>
              </a:solidFill>
            </a:rPr>
            <a:t>E-mail</a:t>
          </a:r>
        </a:p>
      </xdr:txBody>
    </xdr:sp>
    <xdr:clientData/>
  </xdr:twoCellAnchor>
  <xdr:twoCellAnchor>
    <xdr:from>
      <xdr:col>7</xdr:col>
      <xdr:colOff>25400</xdr:colOff>
      <xdr:row>4</xdr:row>
      <xdr:rowOff>25400</xdr:rowOff>
    </xdr:from>
    <xdr:to>
      <xdr:col>7</xdr:col>
      <xdr:colOff>790000</xdr:colOff>
      <xdr:row>4</xdr:row>
      <xdr:rowOff>292100</xdr:rowOff>
    </xdr:to>
    <xdr:sp macro="[0]!RegelNaarArchief" textlink="">
      <xdr:nvSpPr>
        <xdr:cNvPr id="17" name="btnBinnen_5">
          <a:extLst>
            <a:ext uri="{FF2B5EF4-FFF2-40B4-BE49-F238E27FC236}">
              <a16:creationId xmlns:a16="http://schemas.microsoft.com/office/drawing/2014/main" id="{0BC648FB-642F-8741-0125-E6B4DF22EE99}"/>
            </a:ext>
          </a:extLst>
        </xdr:cNvPr>
        <xdr:cNvSpPr/>
      </xdr:nvSpPr>
      <xdr:spPr>
        <a:xfrm>
          <a:off x="10493375" y="1206500"/>
          <a:ext cx="796925" cy="215900"/>
        </a:xfrm>
        <a:prstGeom prst="roundRect">
          <a:avLst/>
        </a:prstGeom>
        <a:solidFill>
          <a:srgbClr val="142D4E"/>
        </a:solidFill>
        <a:ln>
          <a:solidFill>
            <a:srgbClr val="787878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nl-NL" sz="900" b="1">
              <a:solidFill>
                <a:srgbClr val="FFFFFF"/>
              </a:solidFill>
            </a:rPr>
            <a:t>Binnen</a:t>
          </a:r>
        </a:p>
      </xdr:txBody>
    </xdr:sp>
    <xdr:clientData/>
  </xdr:twoCellAnchor>
  <xdr:twoCellAnchor>
    <xdr:from>
      <xdr:col>8</xdr:col>
      <xdr:colOff>25400</xdr:colOff>
      <xdr:row>4</xdr:row>
      <xdr:rowOff>25400</xdr:rowOff>
    </xdr:from>
    <xdr:to>
      <xdr:col>8</xdr:col>
      <xdr:colOff>790000</xdr:colOff>
      <xdr:row>4</xdr:row>
      <xdr:rowOff>292100</xdr:rowOff>
    </xdr:to>
    <xdr:sp macro="[0]!MaakEmailOrderbehandelaar" textlink="">
      <xdr:nvSpPr>
        <xdr:cNvPr id="18" name="btnEmail_5">
          <a:extLst>
            <a:ext uri="{FF2B5EF4-FFF2-40B4-BE49-F238E27FC236}">
              <a16:creationId xmlns:a16="http://schemas.microsoft.com/office/drawing/2014/main" id="{0D1CB1B1-3E0E-AC05-D1D1-E4E7F7FE2A45}"/>
            </a:ext>
          </a:extLst>
        </xdr:cNvPr>
        <xdr:cNvSpPr/>
      </xdr:nvSpPr>
      <xdr:spPr>
        <a:xfrm>
          <a:off x="11341100" y="1206500"/>
          <a:ext cx="796925" cy="215900"/>
        </a:xfrm>
        <a:prstGeom prst="roundRect">
          <a:avLst/>
        </a:prstGeom>
        <a:solidFill>
          <a:srgbClr val="007F82"/>
        </a:solidFill>
        <a:ln>
          <a:solidFill>
            <a:srgbClr val="787878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nl-NL" sz="900" b="1">
              <a:solidFill>
                <a:srgbClr val="FFFFFF"/>
              </a:solidFill>
            </a:rPr>
            <a:t>E-mail</a:t>
          </a:r>
        </a:p>
      </xdr:txBody>
    </xdr:sp>
    <xdr:clientData/>
  </xdr:twoCellAnchor>
  <xdr:twoCellAnchor>
    <xdr:from>
      <xdr:col>7</xdr:col>
      <xdr:colOff>25400</xdr:colOff>
      <xdr:row>5</xdr:row>
      <xdr:rowOff>25400</xdr:rowOff>
    </xdr:from>
    <xdr:to>
      <xdr:col>7</xdr:col>
      <xdr:colOff>790000</xdr:colOff>
      <xdr:row>5</xdr:row>
      <xdr:rowOff>292100</xdr:rowOff>
    </xdr:to>
    <xdr:sp macro="[0]!RegelNaarArchief" textlink="">
      <xdr:nvSpPr>
        <xdr:cNvPr id="19" name="btnBinnen_6">
          <a:extLst>
            <a:ext uri="{FF2B5EF4-FFF2-40B4-BE49-F238E27FC236}">
              <a16:creationId xmlns:a16="http://schemas.microsoft.com/office/drawing/2014/main" id="{01412C59-235B-6426-0140-82BB9DDD2D19}"/>
            </a:ext>
          </a:extLst>
        </xdr:cNvPr>
        <xdr:cNvSpPr/>
      </xdr:nvSpPr>
      <xdr:spPr>
        <a:xfrm>
          <a:off x="10493375" y="1473200"/>
          <a:ext cx="796925" cy="215900"/>
        </a:xfrm>
        <a:prstGeom prst="roundRect">
          <a:avLst/>
        </a:prstGeom>
        <a:solidFill>
          <a:srgbClr val="142D4E"/>
        </a:solidFill>
        <a:ln>
          <a:solidFill>
            <a:srgbClr val="787878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nl-NL" sz="900" b="1">
              <a:solidFill>
                <a:srgbClr val="FFFFFF"/>
              </a:solidFill>
            </a:rPr>
            <a:t>Binnen</a:t>
          </a:r>
        </a:p>
      </xdr:txBody>
    </xdr:sp>
    <xdr:clientData/>
  </xdr:twoCellAnchor>
  <xdr:twoCellAnchor>
    <xdr:from>
      <xdr:col>8</xdr:col>
      <xdr:colOff>25400</xdr:colOff>
      <xdr:row>5</xdr:row>
      <xdr:rowOff>25400</xdr:rowOff>
    </xdr:from>
    <xdr:to>
      <xdr:col>8</xdr:col>
      <xdr:colOff>790000</xdr:colOff>
      <xdr:row>5</xdr:row>
      <xdr:rowOff>292100</xdr:rowOff>
    </xdr:to>
    <xdr:sp macro="[0]!MaakEmailOrderbehandelaar" textlink="">
      <xdr:nvSpPr>
        <xdr:cNvPr id="21" name="btnEmail_6">
          <a:extLst>
            <a:ext uri="{FF2B5EF4-FFF2-40B4-BE49-F238E27FC236}">
              <a16:creationId xmlns:a16="http://schemas.microsoft.com/office/drawing/2014/main" id="{8443C6C4-3ECB-7F22-D504-507AAFEF5B9A}"/>
            </a:ext>
          </a:extLst>
        </xdr:cNvPr>
        <xdr:cNvSpPr/>
      </xdr:nvSpPr>
      <xdr:spPr>
        <a:xfrm>
          <a:off x="11341100" y="1473200"/>
          <a:ext cx="796925" cy="215900"/>
        </a:xfrm>
        <a:prstGeom prst="roundRect">
          <a:avLst/>
        </a:prstGeom>
        <a:solidFill>
          <a:srgbClr val="007F82"/>
        </a:solidFill>
        <a:ln>
          <a:solidFill>
            <a:srgbClr val="787878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nl-NL" sz="900" b="1">
              <a:solidFill>
                <a:srgbClr val="FFFFFF"/>
              </a:solidFill>
            </a:rPr>
            <a:t>E-mail</a:t>
          </a:r>
        </a:p>
      </xdr:txBody>
    </xdr:sp>
    <xdr:clientData/>
  </xdr:twoCellAnchor>
  <xdr:twoCellAnchor>
    <xdr:from>
      <xdr:col>7</xdr:col>
      <xdr:colOff>25400</xdr:colOff>
      <xdr:row>6</xdr:row>
      <xdr:rowOff>25400</xdr:rowOff>
    </xdr:from>
    <xdr:to>
      <xdr:col>7</xdr:col>
      <xdr:colOff>790000</xdr:colOff>
      <xdr:row>6</xdr:row>
      <xdr:rowOff>292100</xdr:rowOff>
    </xdr:to>
    <xdr:sp macro="[0]!RegelNaarArchief" textlink="">
      <xdr:nvSpPr>
        <xdr:cNvPr id="22" name="btnBinnen_7">
          <a:extLst>
            <a:ext uri="{FF2B5EF4-FFF2-40B4-BE49-F238E27FC236}">
              <a16:creationId xmlns:a16="http://schemas.microsoft.com/office/drawing/2014/main" id="{C89B8686-8FE6-6570-9174-740AEF7BAD38}"/>
            </a:ext>
          </a:extLst>
        </xdr:cNvPr>
        <xdr:cNvSpPr/>
      </xdr:nvSpPr>
      <xdr:spPr>
        <a:xfrm>
          <a:off x="10493375" y="1739900"/>
          <a:ext cx="796925" cy="215900"/>
        </a:xfrm>
        <a:prstGeom prst="roundRect">
          <a:avLst/>
        </a:prstGeom>
        <a:solidFill>
          <a:srgbClr val="142D4E"/>
        </a:solidFill>
        <a:ln>
          <a:solidFill>
            <a:srgbClr val="787878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nl-NL" sz="900" b="1">
              <a:solidFill>
                <a:srgbClr val="FFFFFF"/>
              </a:solidFill>
            </a:rPr>
            <a:t>Binnen</a:t>
          </a:r>
        </a:p>
      </xdr:txBody>
    </xdr:sp>
    <xdr:clientData/>
  </xdr:twoCellAnchor>
  <xdr:twoCellAnchor>
    <xdr:from>
      <xdr:col>8</xdr:col>
      <xdr:colOff>25400</xdr:colOff>
      <xdr:row>6</xdr:row>
      <xdr:rowOff>25400</xdr:rowOff>
    </xdr:from>
    <xdr:to>
      <xdr:col>8</xdr:col>
      <xdr:colOff>790000</xdr:colOff>
      <xdr:row>6</xdr:row>
      <xdr:rowOff>292100</xdr:rowOff>
    </xdr:to>
    <xdr:sp macro="[0]!MaakEmailOrderbehandelaar" textlink="">
      <xdr:nvSpPr>
        <xdr:cNvPr id="24" name="btnEmail_7">
          <a:extLst>
            <a:ext uri="{FF2B5EF4-FFF2-40B4-BE49-F238E27FC236}">
              <a16:creationId xmlns:a16="http://schemas.microsoft.com/office/drawing/2014/main" id="{5AAD7DD7-4FF1-8514-6645-D99DAAE6AD16}"/>
            </a:ext>
          </a:extLst>
        </xdr:cNvPr>
        <xdr:cNvSpPr/>
      </xdr:nvSpPr>
      <xdr:spPr>
        <a:xfrm>
          <a:off x="11341100" y="1739900"/>
          <a:ext cx="796925" cy="215900"/>
        </a:xfrm>
        <a:prstGeom prst="roundRect">
          <a:avLst/>
        </a:prstGeom>
        <a:solidFill>
          <a:srgbClr val="007F82"/>
        </a:solidFill>
        <a:ln>
          <a:solidFill>
            <a:srgbClr val="787878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nl-NL" sz="900" b="1">
              <a:solidFill>
                <a:srgbClr val="FFFFFF"/>
              </a:solidFill>
            </a:rPr>
            <a:t>E-mail</a:t>
          </a:r>
        </a:p>
      </xdr:txBody>
    </xdr:sp>
    <xdr:clientData/>
  </xdr:twoCellAnchor>
  <xdr:twoCellAnchor>
    <xdr:from>
      <xdr:col>7</xdr:col>
      <xdr:colOff>25400</xdr:colOff>
      <xdr:row>7</xdr:row>
      <xdr:rowOff>25400</xdr:rowOff>
    </xdr:from>
    <xdr:to>
      <xdr:col>7</xdr:col>
      <xdr:colOff>790000</xdr:colOff>
      <xdr:row>7</xdr:row>
      <xdr:rowOff>292100</xdr:rowOff>
    </xdr:to>
    <xdr:sp macro="[0]!RegelNaarArchief" textlink="">
      <xdr:nvSpPr>
        <xdr:cNvPr id="25" name="btnBinnen_8">
          <a:extLst>
            <a:ext uri="{FF2B5EF4-FFF2-40B4-BE49-F238E27FC236}">
              <a16:creationId xmlns:a16="http://schemas.microsoft.com/office/drawing/2014/main" id="{5EFFEE79-0CE3-FB86-D5A4-8BC1A0D3C08B}"/>
            </a:ext>
          </a:extLst>
        </xdr:cNvPr>
        <xdr:cNvSpPr/>
      </xdr:nvSpPr>
      <xdr:spPr>
        <a:xfrm>
          <a:off x="10493375" y="2006600"/>
          <a:ext cx="796925" cy="215900"/>
        </a:xfrm>
        <a:prstGeom prst="roundRect">
          <a:avLst/>
        </a:prstGeom>
        <a:solidFill>
          <a:srgbClr val="142D4E"/>
        </a:solidFill>
        <a:ln>
          <a:solidFill>
            <a:srgbClr val="787878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nl-NL" sz="900" b="1">
              <a:solidFill>
                <a:srgbClr val="FFFFFF"/>
              </a:solidFill>
            </a:rPr>
            <a:t>Binnen</a:t>
          </a:r>
        </a:p>
      </xdr:txBody>
    </xdr:sp>
    <xdr:clientData/>
  </xdr:twoCellAnchor>
  <xdr:twoCellAnchor>
    <xdr:from>
      <xdr:col>8</xdr:col>
      <xdr:colOff>25400</xdr:colOff>
      <xdr:row>7</xdr:row>
      <xdr:rowOff>25400</xdr:rowOff>
    </xdr:from>
    <xdr:to>
      <xdr:col>8</xdr:col>
      <xdr:colOff>790000</xdr:colOff>
      <xdr:row>7</xdr:row>
      <xdr:rowOff>292100</xdr:rowOff>
    </xdr:to>
    <xdr:sp macro="[0]!MaakEmailOrderbehandelaar" textlink="">
      <xdr:nvSpPr>
        <xdr:cNvPr id="26" name="btnEmail_8">
          <a:extLst>
            <a:ext uri="{FF2B5EF4-FFF2-40B4-BE49-F238E27FC236}">
              <a16:creationId xmlns:a16="http://schemas.microsoft.com/office/drawing/2014/main" id="{1453A2D7-8EE9-A324-FDE4-336F187CDB00}"/>
            </a:ext>
          </a:extLst>
        </xdr:cNvPr>
        <xdr:cNvSpPr/>
      </xdr:nvSpPr>
      <xdr:spPr>
        <a:xfrm>
          <a:off x="11341100" y="2006600"/>
          <a:ext cx="796925" cy="215900"/>
        </a:xfrm>
        <a:prstGeom prst="roundRect">
          <a:avLst/>
        </a:prstGeom>
        <a:solidFill>
          <a:srgbClr val="007F82"/>
        </a:solidFill>
        <a:ln>
          <a:solidFill>
            <a:srgbClr val="787878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nl-NL" sz="900" b="1">
              <a:solidFill>
                <a:srgbClr val="FFFFFF"/>
              </a:solidFill>
            </a:rPr>
            <a:t>E-mail</a:t>
          </a:r>
        </a:p>
      </xdr:txBody>
    </xdr:sp>
    <xdr:clientData/>
  </xdr:twoCellAnchor>
  <xdr:twoCellAnchor>
    <xdr:from>
      <xdr:col>7</xdr:col>
      <xdr:colOff>25400</xdr:colOff>
      <xdr:row>8</xdr:row>
      <xdr:rowOff>25400</xdr:rowOff>
    </xdr:from>
    <xdr:to>
      <xdr:col>7</xdr:col>
      <xdr:colOff>790000</xdr:colOff>
      <xdr:row>8</xdr:row>
      <xdr:rowOff>292100</xdr:rowOff>
    </xdr:to>
    <xdr:sp macro="[0]!RegelNaarArchief" textlink="">
      <xdr:nvSpPr>
        <xdr:cNvPr id="27" name="btnBinnen_9">
          <a:extLst>
            <a:ext uri="{FF2B5EF4-FFF2-40B4-BE49-F238E27FC236}">
              <a16:creationId xmlns:a16="http://schemas.microsoft.com/office/drawing/2014/main" id="{EA18C6D0-36C1-44DB-BBB0-BE4FF417EC9C}"/>
            </a:ext>
          </a:extLst>
        </xdr:cNvPr>
        <xdr:cNvSpPr/>
      </xdr:nvSpPr>
      <xdr:spPr>
        <a:xfrm>
          <a:off x="10493375" y="2273300"/>
          <a:ext cx="796925" cy="215900"/>
        </a:xfrm>
        <a:prstGeom prst="roundRect">
          <a:avLst/>
        </a:prstGeom>
        <a:solidFill>
          <a:srgbClr val="142D4E"/>
        </a:solidFill>
        <a:ln>
          <a:solidFill>
            <a:srgbClr val="787878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nl-NL" sz="900" b="1">
              <a:solidFill>
                <a:srgbClr val="FFFFFF"/>
              </a:solidFill>
            </a:rPr>
            <a:t>Binnen</a:t>
          </a:r>
        </a:p>
      </xdr:txBody>
    </xdr:sp>
    <xdr:clientData/>
  </xdr:twoCellAnchor>
  <xdr:twoCellAnchor>
    <xdr:from>
      <xdr:col>8</xdr:col>
      <xdr:colOff>25400</xdr:colOff>
      <xdr:row>8</xdr:row>
      <xdr:rowOff>25400</xdr:rowOff>
    </xdr:from>
    <xdr:to>
      <xdr:col>8</xdr:col>
      <xdr:colOff>790000</xdr:colOff>
      <xdr:row>8</xdr:row>
      <xdr:rowOff>292100</xdr:rowOff>
    </xdr:to>
    <xdr:sp macro="[0]!MaakEmailOrderbehandelaar" textlink="">
      <xdr:nvSpPr>
        <xdr:cNvPr id="28" name="btnEmail_9">
          <a:extLst>
            <a:ext uri="{FF2B5EF4-FFF2-40B4-BE49-F238E27FC236}">
              <a16:creationId xmlns:a16="http://schemas.microsoft.com/office/drawing/2014/main" id="{82F19E11-4C31-67CD-F48E-23228EBD9A0F}"/>
            </a:ext>
          </a:extLst>
        </xdr:cNvPr>
        <xdr:cNvSpPr/>
      </xdr:nvSpPr>
      <xdr:spPr>
        <a:xfrm>
          <a:off x="11341100" y="2273300"/>
          <a:ext cx="796925" cy="215900"/>
        </a:xfrm>
        <a:prstGeom prst="roundRect">
          <a:avLst/>
        </a:prstGeom>
        <a:solidFill>
          <a:srgbClr val="007F82"/>
        </a:solidFill>
        <a:ln>
          <a:solidFill>
            <a:srgbClr val="787878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nl-NL" sz="900" b="1">
              <a:solidFill>
                <a:srgbClr val="FFFFFF"/>
              </a:solidFill>
            </a:rPr>
            <a:t>E-mail</a:t>
          </a:r>
        </a:p>
      </xdr:txBody>
    </xdr:sp>
    <xdr:clientData/>
  </xdr:twoCellAnchor>
  <xdr:twoCellAnchor>
    <xdr:from>
      <xdr:col>7</xdr:col>
      <xdr:colOff>25400</xdr:colOff>
      <xdr:row>9</xdr:row>
      <xdr:rowOff>25400</xdr:rowOff>
    </xdr:from>
    <xdr:to>
      <xdr:col>7</xdr:col>
      <xdr:colOff>790000</xdr:colOff>
      <xdr:row>9</xdr:row>
      <xdr:rowOff>292100</xdr:rowOff>
    </xdr:to>
    <xdr:sp macro="[0]!RegelNaarArchief" textlink="">
      <xdr:nvSpPr>
        <xdr:cNvPr id="29" name="btnBinnen_10">
          <a:extLst>
            <a:ext uri="{FF2B5EF4-FFF2-40B4-BE49-F238E27FC236}">
              <a16:creationId xmlns:a16="http://schemas.microsoft.com/office/drawing/2014/main" id="{61E5FEAF-2AA2-991A-0B07-806733E810C5}"/>
            </a:ext>
          </a:extLst>
        </xdr:cNvPr>
        <xdr:cNvSpPr/>
      </xdr:nvSpPr>
      <xdr:spPr>
        <a:xfrm>
          <a:off x="10493375" y="2540000"/>
          <a:ext cx="796925" cy="215900"/>
        </a:xfrm>
        <a:prstGeom prst="roundRect">
          <a:avLst/>
        </a:prstGeom>
        <a:solidFill>
          <a:srgbClr val="142D4E"/>
        </a:solidFill>
        <a:ln>
          <a:solidFill>
            <a:srgbClr val="787878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nl-NL" sz="900" b="1">
              <a:solidFill>
                <a:srgbClr val="FFFFFF"/>
              </a:solidFill>
            </a:rPr>
            <a:t>Binnen</a:t>
          </a:r>
        </a:p>
      </xdr:txBody>
    </xdr:sp>
    <xdr:clientData/>
  </xdr:twoCellAnchor>
  <xdr:twoCellAnchor>
    <xdr:from>
      <xdr:col>8</xdr:col>
      <xdr:colOff>25400</xdr:colOff>
      <xdr:row>9</xdr:row>
      <xdr:rowOff>25400</xdr:rowOff>
    </xdr:from>
    <xdr:to>
      <xdr:col>8</xdr:col>
      <xdr:colOff>790000</xdr:colOff>
      <xdr:row>9</xdr:row>
      <xdr:rowOff>292100</xdr:rowOff>
    </xdr:to>
    <xdr:sp macro="[0]!MaakEmailOrderbehandelaar" textlink="">
      <xdr:nvSpPr>
        <xdr:cNvPr id="30" name="btnEmail_10">
          <a:extLst>
            <a:ext uri="{FF2B5EF4-FFF2-40B4-BE49-F238E27FC236}">
              <a16:creationId xmlns:a16="http://schemas.microsoft.com/office/drawing/2014/main" id="{B196B66E-0B10-6EA6-7844-2760F90F9317}"/>
            </a:ext>
          </a:extLst>
        </xdr:cNvPr>
        <xdr:cNvSpPr/>
      </xdr:nvSpPr>
      <xdr:spPr>
        <a:xfrm>
          <a:off x="11341100" y="2540000"/>
          <a:ext cx="796925" cy="215900"/>
        </a:xfrm>
        <a:prstGeom prst="roundRect">
          <a:avLst/>
        </a:prstGeom>
        <a:solidFill>
          <a:srgbClr val="007F82"/>
        </a:solidFill>
        <a:ln>
          <a:solidFill>
            <a:srgbClr val="787878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nl-NL" sz="900" b="1">
              <a:solidFill>
                <a:srgbClr val="FFFFFF"/>
              </a:solidFill>
            </a:rPr>
            <a:t>E-mail</a:t>
          </a:r>
        </a:p>
      </xdr:txBody>
    </xdr:sp>
    <xdr:clientData/>
  </xdr:twoCellAnchor>
  <xdr:twoCellAnchor>
    <xdr:from>
      <xdr:col>7</xdr:col>
      <xdr:colOff>25400</xdr:colOff>
      <xdr:row>10</xdr:row>
      <xdr:rowOff>25400</xdr:rowOff>
    </xdr:from>
    <xdr:to>
      <xdr:col>7</xdr:col>
      <xdr:colOff>790000</xdr:colOff>
      <xdr:row>10</xdr:row>
      <xdr:rowOff>292100</xdr:rowOff>
    </xdr:to>
    <xdr:sp macro="[0]!RegelNaarArchief" textlink="">
      <xdr:nvSpPr>
        <xdr:cNvPr id="31" name="btnBinnen_11">
          <a:extLst>
            <a:ext uri="{FF2B5EF4-FFF2-40B4-BE49-F238E27FC236}">
              <a16:creationId xmlns:a16="http://schemas.microsoft.com/office/drawing/2014/main" id="{F074EAF8-77E4-1DBB-AF64-F1209C9AC4FB}"/>
            </a:ext>
          </a:extLst>
        </xdr:cNvPr>
        <xdr:cNvSpPr/>
      </xdr:nvSpPr>
      <xdr:spPr>
        <a:xfrm>
          <a:off x="10493375" y="2806700"/>
          <a:ext cx="796925" cy="215900"/>
        </a:xfrm>
        <a:prstGeom prst="roundRect">
          <a:avLst/>
        </a:prstGeom>
        <a:solidFill>
          <a:srgbClr val="142D4E"/>
        </a:solidFill>
        <a:ln>
          <a:solidFill>
            <a:srgbClr val="787878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nl-NL" sz="900" b="1">
              <a:solidFill>
                <a:srgbClr val="FFFFFF"/>
              </a:solidFill>
            </a:rPr>
            <a:t>Binnen</a:t>
          </a:r>
        </a:p>
      </xdr:txBody>
    </xdr:sp>
    <xdr:clientData/>
  </xdr:twoCellAnchor>
  <xdr:twoCellAnchor>
    <xdr:from>
      <xdr:col>8</xdr:col>
      <xdr:colOff>25400</xdr:colOff>
      <xdr:row>10</xdr:row>
      <xdr:rowOff>25400</xdr:rowOff>
    </xdr:from>
    <xdr:to>
      <xdr:col>8</xdr:col>
      <xdr:colOff>790000</xdr:colOff>
      <xdr:row>10</xdr:row>
      <xdr:rowOff>292100</xdr:rowOff>
    </xdr:to>
    <xdr:sp macro="[0]!MaakEmailOrderbehandelaar" textlink="">
      <xdr:nvSpPr>
        <xdr:cNvPr id="32" name="btnEmail_11">
          <a:extLst>
            <a:ext uri="{FF2B5EF4-FFF2-40B4-BE49-F238E27FC236}">
              <a16:creationId xmlns:a16="http://schemas.microsoft.com/office/drawing/2014/main" id="{599D8FE3-DB11-1F92-F71A-4FB5AE545E87}"/>
            </a:ext>
          </a:extLst>
        </xdr:cNvPr>
        <xdr:cNvSpPr/>
      </xdr:nvSpPr>
      <xdr:spPr>
        <a:xfrm>
          <a:off x="11341100" y="2806700"/>
          <a:ext cx="796925" cy="215900"/>
        </a:xfrm>
        <a:prstGeom prst="roundRect">
          <a:avLst/>
        </a:prstGeom>
        <a:solidFill>
          <a:srgbClr val="007F82"/>
        </a:solidFill>
        <a:ln>
          <a:solidFill>
            <a:srgbClr val="787878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nl-NL" sz="900" b="1">
              <a:solidFill>
                <a:srgbClr val="FFFFFF"/>
              </a:solidFill>
            </a:rPr>
            <a:t>E-mail</a:t>
          </a:r>
        </a:p>
      </xdr:txBody>
    </xdr:sp>
    <xdr:clientData/>
  </xdr:twoCellAnchor>
  <xdr:twoCellAnchor>
    <xdr:from>
      <xdr:col>7</xdr:col>
      <xdr:colOff>25400</xdr:colOff>
      <xdr:row>11</xdr:row>
      <xdr:rowOff>25400</xdr:rowOff>
    </xdr:from>
    <xdr:to>
      <xdr:col>7</xdr:col>
      <xdr:colOff>790000</xdr:colOff>
      <xdr:row>11</xdr:row>
      <xdr:rowOff>292100</xdr:rowOff>
    </xdr:to>
    <xdr:sp macro="[0]!RegelNaarArchief" textlink="">
      <xdr:nvSpPr>
        <xdr:cNvPr id="33" name="btnBinnen_12">
          <a:extLst>
            <a:ext uri="{FF2B5EF4-FFF2-40B4-BE49-F238E27FC236}">
              <a16:creationId xmlns:a16="http://schemas.microsoft.com/office/drawing/2014/main" id="{1006A855-9321-E708-AF2A-6DC38DF31ED4}"/>
            </a:ext>
          </a:extLst>
        </xdr:cNvPr>
        <xdr:cNvSpPr/>
      </xdr:nvSpPr>
      <xdr:spPr>
        <a:xfrm>
          <a:off x="10493375" y="3073400"/>
          <a:ext cx="796925" cy="215900"/>
        </a:xfrm>
        <a:prstGeom prst="roundRect">
          <a:avLst/>
        </a:prstGeom>
        <a:solidFill>
          <a:srgbClr val="142D4E"/>
        </a:solidFill>
        <a:ln>
          <a:solidFill>
            <a:srgbClr val="787878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nl-NL" sz="900" b="1">
              <a:solidFill>
                <a:srgbClr val="FFFFFF"/>
              </a:solidFill>
            </a:rPr>
            <a:t>Binnen</a:t>
          </a:r>
        </a:p>
      </xdr:txBody>
    </xdr:sp>
    <xdr:clientData/>
  </xdr:twoCellAnchor>
  <xdr:twoCellAnchor>
    <xdr:from>
      <xdr:col>8</xdr:col>
      <xdr:colOff>25400</xdr:colOff>
      <xdr:row>11</xdr:row>
      <xdr:rowOff>25400</xdr:rowOff>
    </xdr:from>
    <xdr:to>
      <xdr:col>8</xdr:col>
      <xdr:colOff>790000</xdr:colOff>
      <xdr:row>11</xdr:row>
      <xdr:rowOff>292100</xdr:rowOff>
    </xdr:to>
    <xdr:sp macro="[0]!MaakEmailOrderbehandelaar" textlink="">
      <xdr:nvSpPr>
        <xdr:cNvPr id="34" name="btnEmail_12">
          <a:extLst>
            <a:ext uri="{FF2B5EF4-FFF2-40B4-BE49-F238E27FC236}">
              <a16:creationId xmlns:a16="http://schemas.microsoft.com/office/drawing/2014/main" id="{CC70360B-0402-8060-69C9-6DEC599B7FD5}"/>
            </a:ext>
          </a:extLst>
        </xdr:cNvPr>
        <xdr:cNvSpPr/>
      </xdr:nvSpPr>
      <xdr:spPr>
        <a:xfrm>
          <a:off x="11341100" y="3073400"/>
          <a:ext cx="796925" cy="215900"/>
        </a:xfrm>
        <a:prstGeom prst="roundRect">
          <a:avLst/>
        </a:prstGeom>
        <a:solidFill>
          <a:srgbClr val="007F82"/>
        </a:solidFill>
        <a:ln>
          <a:solidFill>
            <a:srgbClr val="787878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nl-NL" sz="900" b="1">
              <a:solidFill>
                <a:srgbClr val="FFFFFF"/>
              </a:solidFill>
            </a:rPr>
            <a:t>E-mail</a:t>
          </a:r>
        </a:p>
      </xdr:txBody>
    </xdr:sp>
    <xdr:clientData/>
  </xdr:twoCellAnchor>
  <xdr:twoCellAnchor>
    <xdr:from>
      <xdr:col>7</xdr:col>
      <xdr:colOff>25400</xdr:colOff>
      <xdr:row>12</xdr:row>
      <xdr:rowOff>25400</xdr:rowOff>
    </xdr:from>
    <xdr:to>
      <xdr:col>7</xdr:col>
      <xdr:colOff>790000</xdr:colOff>
      <xdr:row>12</xdr:row>
      <xdr:rowOff>292100</xdr:rowOff>
    </xdr:to>
    <xdr:sp macro="[0]!RegelNaarArchief" textlink="">
      <xdr:nvSpPr>
        <xdr:cNvPr id="35" name="btnBinnen_13">
          <a:extLst>
            <a:ext uri="{FF2B5EF4-FFF2-40B4-BE49-F238E27FC236}">
              <a16:creationId xmlns:a16="http://schemas.microsoft.com/office/drawing/2014/main" id="{4A388BB7-6C26-C328-D6A5-F8D31D4CD35B}"/>
            </a:ext>
          </a:extLst>
        </xdr:cNvPr>
        <xdr:cNvSpPr/>
      </xdr:nvSpPr>
      <xdr:spPr>
        <a:xfrm>
          <a:off x="10493375" y="3340100"/>
          <a:ext cx="796925" cy="215900"/>
        </a:xfrm>
        <a:prstGeom prst="roundRect">
          <a:avLst/>
        </a:prstGeom>
        <a:solidFill>
          <a:srgbClr val="142D4E"/>
        </a:solidFill>
        <a:ln>
          <a:solidFill>
            <a:srgbClr val="787878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nl-NL" sz="900" b="1">
              <a:solidFill>
                <a:srgbClr val="FFFFFF"/>
              </a:solidFill>
            </a:rPr>
            <a:t>Binnen</a:t>
          </a:r>
        </a:p>
      </xdr:txBody>
    </xdr:sp>
    <xdr:clientData/>
  </xdr:twoCellAnchor>
  <xdr:twoCellAnchor>
    <xdr:from>
      <xdr:col>8</xdr:col>
      <xdr:colOff>25400</xdr:colOff>
      <xdr:row>12</xdr:row>
      <xdr:rowOff>25400</xdr:rowOff>
    </xdr:from>
    <xdr:to>
      <xdr:col>8</xdr:col>
      <xdr:colOff>790000</xdr:colOff>
      <xdr:row>12</xdr:row>
      <xdr:rowOff>292100</xdr:rowOff>
    </xdr:to>
    <xdr:sp macro="[0]!MaakEmailOrderbehandelaar" textlink="">
      <xdr:nvSpPr>
        <xdr:cNvPr id="36" name="btnEmail_13">
          <a:extLst>
            <a:ext uri="{FF2B5EF4-FFF2-40B4-BE49-F238E27FC236}">
              <a16:creationId xmlns:a16="http://schemas.microsoft.com/office/drawing/2014/main" id="{995E8B57-6637-E711-E5A8-34E2D4238783}"/>
            </a:ext>
          </a:extLst>
        </xdr:cNvPr>
        <xdr:cNvSpPr/>
      </xdr:nvSpPr>
      <xdr:spPr>
        <a:xfrm>
          <a:off x="11341100" y="3340100"/>
          <a:ext cx="796925" cy="215900"/>
        </a:xfrm>
        <a:prstGeom prst="roundRect">
          <a:avLst/>
        </a:prstGeom>
        <a:solidFill>
          <a:srgbClr val="007F82"/>
        </a:solidFill>
        <a:ln>
          <a:solidFill>
            <a:srgbClr val="787878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nl-NL" sz="900" b="1">
              <a:solidFill>
                <a:srgbClr val="FFFFFF"/>
              </a:solidFill>
            </a:rPr>
            <a:t>E-mail</a:t>
          </a:r>
        </a:p>
      </xdr:txBody>
    </xdr:sp>
    <xdr:clientData/>
  </xdr:twoCellAnchor>
  <xdr:twoCellAnchor>
    <xdr:from>
      <xdr:col>7</xdr:col>
      <xdr:colOff>25400</xdr:colOff>
      <xdr:row>13</xdr:row>
      <xdr:rowOff>25400</xdr:rowOff>
    </xdr:from>
    <xdr:to>
      <xdr:col>7</xdr:col>
      <xdr:colOff>790000</xdr:colOff>
      <xdr:row>13</xdr:row>
      <xdr:rowOff>292100</xdr:rowOff>
    </xdr:to>
    <xdr:sp macro="[0]!RegelNaarArchief" textlink="">
      <xdr:nvSpPr>
        <xdr:cNvPr id="37" name="btnBinnen_14">
          <a:extLst>
            <a:ext uri="{FF2B5EF4-FFF2-40B4-BE49-F238E27FC236}">
              <a16:creationId xmlns:a16="http://schemas.microsoft.com/office/drawing/2014/main" id="{8EDE5A59-5E26-74CA-9348-3913E6C7F13F}"/>
            </a:ext>
          </a:extLst>
        </xdr:cNvPr>
        <xdr:cNvSpPr/>
      </xdr:nvSpPr>
      <xdr:spPr>
        <a:xfrm>
          <a:off x="10493375" y="3606800"/>
          <a:ext cx="796925" cy="215900"/>
        </a:xfrm>
        <a:prstGeom prst="roundRect">
          <a:avLst/>
        </a:prstGeom>
        <a:solidFill>
          <a:srgbClr val="142D4E"/>
        </a:solidFill>
        <a:ln>
          <a:solidFill>
            <a:srgbClr val="787878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nl-NL" sz="900" b="1">
              <a:solidFill>
                <a:srgbClr val="FFFFFF"/>
              </a:solidFill>
            </a:rPr>
            <a:t>Binnen</a:t>
          </a:r>
        </a:p>
      </xdr:txBody>
    </xdr:sp>
    <xdr:clientData/>
  </xdr:twoCellAnchor>
  <xdr:twoCellAnchor>
    <xdr:from>
      <xdr:col>8</xdr:col>
      <xdr:colOff>25400</xdr:colOff>
      <xdr:row>13</xdr:row>
      <xdr:rowOff>25400</xdr:rowOff>
    </xdr:from>
    <xdr:to>
      <xdr:col>8</xdr:col>
      <xdr:colOff>790000</xdr:colOff>
      <xdr:row>13</xdr:row>
      <xdr:rowOff>292100</xdr:rowOff>
    </xdr:to>
    <xdr:sp macro="[0]!MaakEmailOrderbehandelaar" textlink="">
      <xdr:nvSpPr>
        <xdr:cNvPr id="38" name="btnEmail_14">
          <a:extLst>
            <a:ext uri="{FF2B5EF4-FFF2-40B4-BE49-F238E27FC236}">
              <a16:creationId xmlns:a16="http://schemas.microsoft.com/office/drawing/2014/main" id="{99C33BD9-2117-2973-6F71-3A2680DC03FA}"/>
            </a:ext>
          </a:extLst>
        </xdr:cNvPr>
        <xdr:cNvSpPr/>
      </xdr:nvSpPr>
      <xdr:spPr>
        <a:xfrm>
          <a:off x="11341100" y="3606800"/>
          <a:ext cx="796925" cy="215900"/>
        </a:xfrm>
        <a:prstGeom prst="roundRect">
          <a:avLst/>
        </a:prstGeom>
        <a:solidFill>
          <a:srgbClr val="007F82"/>
        </a:solidFill>
        <a:ln>
          <a:solidFill>
            <a:srgbClr val="787878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nl-NL" sz="900" b="1">
              <a:solidFill>
                <a:srgbClr val="FFFFFF"/>
              </a:solidFill>
            </a:rPr>
            <a:t>E-mail</a:t>
          </a:r>
        </a:p>
      </xdr:txBody>
    </xdr:sp>
    <xdr:clientData/>
  </xdr:twoCellAnchor>
  <xdr:twoCellAnchor>
    <xdr:from>
      <xdr:col>7</xdr:col>
      <xdr:colOff>25400</xdr:colOff>
      <xdr:row>14</xdr:row>
      <xdr:rowOff>25400</xdr:rowOff>
    </xdr:from>
    <xdr:to>
      <xdr:col>7</xdr:col>
      <xdr:colOff>790000</xdr:colOff>
      <xdr:row>14</xdr:row>
      <xdr:rowOff>292100</xdr:rowOff>
    </xdr:to>
    <xdr:sp macro="[0]!RegelNaarArchief" textlink="">
      <xdr:nvSpPr>
        <xdr:cNvPr id="39" name="btnBinnen_15">
          <a:extLst>
            <a:ext uri="{FF2B5EF4-FFF2-40B4-BE49-F238E27FC236}">
              <a16:creationId xmlns:a16="http://schemas.microsoft.com/office/drawing/2014/main" id="{7F7ED15A-B618-BB9B-6625-D9D27BDC346C}"/>
            </a:ext>
          </a:extLst>
        </xdr:cNvPr>
        <xdr:cNvSpPr/>
      </xdr:nvSpPr>
      <xdr:spPr>
        <a:xfrm>
          <a:off x="10493375" y="3873500"/>
          <a:ext cx="796925" cy="215900"/>
        </a:xfrm>
        <a:prstGeom prst="roundRect">
          <a:avLst/>
        </a:prstGeom>
        <a:solidFill>
          <a:srgbClr val="142D4E"/>
        </a:solidFill>
        <a:ln>
          <a:solidFill>
            <a:srgbClr val="787878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nl-NL" sz="900" b="1">
              <a:solidFill>
                <a:srgbClr val="FFFFFF"/>
              </a:solidFill>
            </a:rPr>
            <a:t>Binnen</a:t>
          </a:r>
        </a:p>
      </xdr:txBody>
    </xdr:sp>
    <xdr:clientData/>
  </xdr:twoCellAnchor>
  <xdr:twoCellAnchor>
    <xdr:from>
      <xdr:col>8</xdr:col>
      <xdr:colOff>25400</xdr:colOff>
      <xdr:row>14</xdr:row>
      <xdr:rowOff>25400</xdr:rowOff>
    </xdr:from>
    <xdr:to>
      <xdr:col>8</xdr:col>
      <xdr:colOff>790000</xdr:colOff>
      <xdr:row>14</xdr:row>
      <xdr:rowOff>292100</xdr:rowOff>
    </xdr:to>
    <xdr:sp macro="[0]!MaakEmailOrderbehandelaar" textlink="">
      <xdr:nvSpPr>
        <xdr:cNvPr id="40" name="btnEmail_15">
          <a:extLst>
            <a:ext uri="{FF2B5EF4-FFF2-40B4-BE49-F238E27FC236}">
              <a16:creationId xmlns:a16="http://schemas.microsoft.com/office/drawing/2014/main" id="{E73EEE57-CB08-1BF9-287E-418CC04C6BD2}"/>
            </a:ext>
          </a:extLst>
        </xdr:cNvPr>
        <xdr:cNvSpPr/>
      </xdr:nvSpPr>
      <xdr:spPr>
        <a:xfrm>
          <a:off x="11341100" y="3873500"/>
          <a:ext cx="796925" cy="215900"/>
        </a:xfrm>
        <a:prstGeom prst="roundRect">
          <a:avLst/>
        </a:prstGeom>
        <a:solidFill>
          <a:srgbClr val="007F82"/>
        </a:solidFill>
        <a:ln>
          <a:solidFill>
            <a:srgbClr val="787878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nl-NL" sz="900" b="1">
              <a:solidFill>
                <a:srgbClr val="FFFFFF"/>
              </a:solidFill>
            </a:rPr>
            <a:t>E-mail</a:t>
          </a:r>
        </a:p>
      </xdr:txBody>
    </xdr:sp>
    <xdr:clientData/>
  </xdr:twoCellAnchor>
  <xdr:twoCellAnchor>
    <xdr:from>
      <xdr:col>7</xdr:col>
      <xdr:colOff>25400</xdr:colOff>
      <xdr:row>15</xdr:row>
      <xdr:rowOff>25400</xdr:rowOff>
    </xdr:from>
    <xdr:to>
      <xdr:col>7</xdr:col>
      <xdr:colOff>790000</xdr:colOff>
      <xdr:row>15</xdr:row>
      <xdr:rowOff>292100</xdr:rowOff>
    </xdr:to>
    <xdr:sp macro="[0]!RegelNaarArchief" textlink="">
      <xdr:nvSpPr>
        <xdr:cNvPr id="41" name="btnBinnen_16">
          <a:extLst>
            <a:ext uri="{FF2B5EF4-FFF2-40B4-BE49-F238E27FC236}">
              <a16:creationId xmlns:a16="http://schemas.microsoft.com/office/drawing/2014/main" id="{6D969231-86DB-8E23-7E79-480A87E87744}"/>
            </a:ext>
          </a:extLst>
        </xdr:cNvPr>
        <xdr:cNvSpPr/>
      </xdr:nvSpPr>
      <xdr:spPr>
        <a:xfrm>
          <a:off x="10493375" y="4140200"/>
          <a:ext cx="796925" cy="215900"/>
        </a:xfrm>
        <a:prstGeom prst="roundRect">
          <a:avLst/>
        </a:prstGeom>
        <a:solidFill>
          <a:srgbClr val="142D4E"/>
        </a:solidFill>
        <a:ln>
          <a:solidFill>
            <a:srgbClr val="787878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nl-NL" sz="900" b="1">
              <a:solidFill>
                <a:srgbClr val="FFFFFF"/>
              </a:solidFill>
            </a:rPr>
            <a:t>Binnen</a:t>
          </a:r>
        </a:p>
      </xdr:txBody>
    </xdr:sp>
    <xdr:clientData/>
  </xdr:twoCellAnchor>
  <xdr:twoCellAnchor>
    <xdr:from>
      <xdr:col>8</xdr:col>
      <xdr:colOff>25400</xdr:colOff>
      <xdr:row>15</xdr:row>
      <xdr:rowOff>25400</xdr:rowOff>
    </xdr:from>
    <xdr:to>
      <xdr:col>8</xdr:col>
      <xdr:colOff>790000</xdr:colOff>
      <xdr:row>15</xdr:row>
      <xdr:rowOff>292100</xdr:rowOff>
    </xdr:to>
    <xdr:sp macro="[0]!MaakEmailOrderbehandelaar" textlink="">
      <xdr:nvSpPr>
        <xdr:cNvPr id="42" name="btnEmail_16">
          <a:extLst>
            <a:ext uri="{FF2B5EF4-FFF2-40B4-BE49-F238E27FC236}">
              <a16:creationId xmlns:a16="http://schemas.microsoft.com/office/drawing/2014/main" id="{8705F93D-E983-3A1F-0188-91FB389E8093}"/>
            </a:ext>
          </a:extLst>
        </xdr:cNvPr>
        <xdr:cNvSpPr/>
      </xdr:nvSpPr>
      <xdr:spPr>
        <a:xfrm>
          <a:off x="11341100" y="4140200"/>
          <a:ext cx="796925" cy="215900"/>
        </a:xfrm>
        <a:prstGeom prst="roundRect">
          <a:avLst/>
        </a:prstGeom>
        <a:solidFill>
          <a:srgbClr val="007F82"/>
        </a:solidFill>
        <a:ln>
          <a:solidFill>
            <a:srgbClr val="787878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nl-NL" sz="900" b="1">
              <a:solidFill>
                <a:srgbClr val="FFFFFF"/>
              </a:solidFill>
            </a:rPr>
            <a:t>E-mail</a:t>
          </a:r>
        </a:p>
      </xdr:txBody>
    </xdr:sp>
    <xdr:clientData/>
  </xdr:twoCellAnchor>
  <xdr:twoCellAnchor>
    <xdr:from>
      <xdr:col>7</xdr:col>
      <xdr:colOff>25400</xdr:colOff>
      <xdr:row>16</xdr:row>
      <xdr:rowOff>25400</xdr:rowOff>
    </xdr:from>
    <xdr:to>
      <xdr:col>7</xdr:col>
      <xdr:colOff>790000</xdr:colOff>
      <xdr:row>16</xdr:row>
      <xdr:rowOff>292100</xdr:rowOff>
    </xdr:to>
    <xdr:sp macro="[0]!RegelNaarArchief" textlink="">
      <xdr:nvSpPr>
        <xdr:cNvPr id="43" name="btnBinnen_17">
          <a:extLst>
            <a:ext uri="{FF2B5EF4-FFF2-40B4-BE49-F238E27FC236}">
              <a16:creationId xmlns:a16="http://schemas.microsoft.com/office/drawing/2014/main" id="{21D490EB-E40A-AE28-1C0F-F193CEA81E8F}"/>
            </a:ext>
          </a:extLst>
        </xdr:cNvPr>
        <xdr:cNvSpPr/>
      </xdr:nvSpPr>
      <xdr:spPr>
        <a:xfrm>
          <a:off x="10493375" y="4406900"/>
          <a:ext cx="796925" cy="215900"/>
        </a:xfrm>
        <a:prstGeom prst="roundRect">
          <a:avLst/>
        </a:prstGeom>
        <a:solidFill>
          <a:srgbClr val="142D4E"/>
        </a:solidFill>
        <a:ln>
          <a:solidFill>
            <a:srgbClr val="787878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nl-NL" sz="900" b="1">
              <a:solidFill>
                <a:srgbClr val="FFFFFF"/>
              </a:solidFill>
            </a:rPr>
            <a:t>Binnen</a:t>
          </a:r>
        </a:p>
      </xdr:txBody>
    </xdr:sp>
    <xdr:clientData/>
  </xdr:twoCellAnchor>
  <xdr:twoCellAnchor>
    <xdr:from>
      <xdr:col>8</xdr:col>
      <xdr:colOff>25400</xdr:colOff>
      <xdr:row>16</xdr:row>
      <xdr:rowOff>25400</xdr:rowOff>
    </xdr:from>
    <xdr:to>
      <xdr:col>8</xdr:col>
      <xdr:colOff>790000</xdr:colOff>
      <xdr:row>16</xdr:row>
      <xdr:rowOff>292100</xdr:rowOff>
    </xdr:to>
    <xdr:sp macro="[0]!MaakEmailOrderbehandelaar" textlink="">
      <xdr:nvSpPr>
        <xdr:cNvPr id="44" name="btnEmail_17">
          <a:extLst>
            <a:ext uri="{FF2B5EF4-FFF2-40B4-BE49-F238E27FC236}">
              <a16:creationId xmlns:a16="http://schemas.microsoft.com/office/drawing/2014/main" id="{6933BD73-A583-37C7-75D1-8AD1DA200AC5}"/>
            </a:ext>
          </a:extLst>
        </xdr:cNvPr>
        <xdr:cNvSpPr/>
      </xdr:nvSpPr>
      <xdr:spPr>
        <a:xfrm>
          <a:off x="11341100" y="4406900"/>
          <a:ext cx="796925" cy="215900"/>
        </a:xfrm>
        <a:prstGeom prst="roundRect">
          <a:avLst/>
        </a:prstGeom>
        <a:solidFill>
          <a:srgbClr val="007F82"/>
        </a:solidFill>
        <a:ln>
          <a:solidFill>
            <a:srgbClr val="787878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nl-NL" sz="900" b="1">
              <a:solidFill>
                <a:srgbClr val="FFFFFF"/>
              </a:solidFill>
            </a:rPr>
            <a:t>E-mail</a:t>
          </a:r>
        </a:p>
      </xdr:txBody>
    </xdr:sp>
    <xdr:clientData/>
  </xdr:twoCellAnchor>
  <xdr:twoCellAnchor>
    <xdr:from>
      <xdr:col>7</xdr:col>
      <xdr:colOff>25400</xdr:colOff>
      <xdr:row>17</xdr:row>
      <xdr:rowOff>25400</xdr:rowOff>
    </xdr:from>
    <xdr:to>
      <xdr:col>7</xdr:col>
      <xdr:colOff>790000</xdr:colOff>
      <xdr:row>17</xdr:row>
      <xdr:rowOff>292100</xdr:rowOff>
    </xdr:to>
    <xdr:sp macro="[0]!RegelNaarArchief" textlink="">
      <xdr:nvSpPr>
        <xdr:cNvPr id="45" name="btnBinnen_18">
          <a:extLst>
            <a:ext uri="{FF2B5EF4-FFF2-40B4-BE49-F238E27FC236}">
              <a16:creationId xmlns:a16="http://schemas.microsoft.com/office/drawing/2014/main" id="{829F3098-889F-E388-48EB-D3A55264F27F}"/>
            </a:ext>
          </a:extLst>
        </xdr:cNvPr>
        <xdr:cNvSpPr/>
      </xdr:nvSpPr>
      <xdr:spPr>
        <a:xfrm>
          <a:off x="10493375" y="4673600"/>
          <a:ext cx="796925" cy="215900"/>
        </a:xfrm>
        <a:prstGeom prst="roundRect">
          <a:avLst/>
        </a:prstGeom>
        <a:solidFill>
          <a:srgbClr val="142D4E"/>
        </a:solidFill>
        <a:ln>
          <a:solidFill>
            <a:srgbClr val="787878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nl-NL" sz="900" b="1">
              <a:solidFill>
                <a:srgbClr val="FFFFFF"/>
              </a:solidFill>
            </a:rPr>
            <a:t>Binnen</a:t>
          </a:r>
        </a:p>
      </xdr:txBody>
    </xdr:sp>
    <xdr:clientData/>
  </xdr:twoCellAnchor>
  <xdr:twoCellAnchor>
    <xdr:from>
      <xdr:col>8</xdr:col>
      <xdr:colOff>25400</xdr:colOff>
      <xdr:row>17</xdr:row>
      <xdr:rowOff>25400</xdr:rowOff>
    </xdr:from>
    <xdr:to>
      <xdr:col>8</xdr:col>
      <xdr:colOff>790000</xdr:colOff>
      <xdr:row>17</xdr:row>
      <xdr:rowOff>292100</xdr:rowOff>
    </xdr:to>
    <xdr:sp macro="[0]!MaakEmailOrderbehandelaar" textlink="">
      <xdr:nvSpPr>
        <xdr:cNvPr id="46" name="btnEmail_18">
          <a:extLst>
            <a:ext uri="{FF2B5EF4-FFF2-40B4-BE49-F238E27FC236}">
              <a16:creationId xmlns:a16="http://schemas.microsoft.com/office/drawing/2014/main" id="{7256B05D-C33F-E411-7994-43D5BF4C1168}"/>
            </a:ext>
          </a:extLst>
        </xdr:cNvPr>
        <xdr:cNvSpPr/>
      </xdr:nvSpPr>
      <xdr:spPr>
        <a:xfrm>
          <a:off x="11341100" y="4673600"/>
          <a:ext cx="796925" cy="215900"/>
        </a:xfrm>
        <a:prstGeom prst="roundRect">
          <a:avLst/>
        </a:prstGeom>
        <a:solidFill>
          <a:srgbClr val="007F82"/>
        </a:solidFill>
        <a:ln>
          <a:solidFill>
            <a:srgbClr val="787878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nl-NL" sz="900" b="1">
              <a:solidFill>
                <a:srgbClr val="FFFFFF"/>
              </a:solidFill>
            </a:rPr>
            <a:t>E-mail</a:t>
          </a:r>
        </a:p>
      </xdr:txBody>
    </xdr:sp>
    <xdr:clientData/>
  </xdr:twoCellAnchor>
  <xdr:twoCellAnchor>
    <xdr:from>
      <xdr:col>7</xdr:col>
      <xdr:colOff>25400</xdr:colOff>
      <xdr:row>18</xdr:row>
      <xdr:rowOff>25400</xdr:rowOff>
    </xdr:from>
    <xdr:to>
      <xdr:col>7</xdr:col>
      <xdr:colOff>790000</xdr:colOff>
      <xdr:row>18</xdr:row>
      <xdr:rowOff>292100</xdr:rowOff>
    </xdr:to>
    <xdr:sp macro="[0]!RegelNaarArchief" textlink="">
      <xdr:nvSpPr>
        <xdr:cNvPr id="47" name="btnBinnen_19">
          <a:extLst>
            <a:ext uri="{FF2B5EF4-FFF2-40B4-BE49-F238E27FC236}">
              <a16:creationId xmlns:a16="http://schemas.microsoft.com/office/drawing/2014/main" id="{61BB193D-BF33-D375-8286-1FA746933A1B}"/>
            </a:ext>
          </a:extLst>
        </xdr:cNvPr>
        <xdr:cNvSpPr/>
      </xdr:nvSpPr>
      <xdr:spPr>
        <a:xfrm>
          <a:off x="10493375" y="4940300"/>
          <a:ext cx="796925" cy="215900"/>
        </a:xfrm>
        <a:prstGeom prst="roundRect">
          <a:avLst/>
        </a:prstGeom>
        <a:solidFill>
          <a:srgbClr val="142D4E"/>
        </a:solidFill>
        <a:ln>
          <a:solidFill>
            <a:srgbClr val="787878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nl-NL" sz="900" b="1">
              <a:solidFill>
                <a:srgbClr val="FFFFFF"/>
              </a:solidFill>
            </a:rPr>
            <a:t>Binnen</a:t>
          </a:r>
        </a:p>
      </xdr:txBody>
    </xdr:sp>
    <xdr:clientData/>
  </xdr:twoCellAnchor>
  <xdr:twoCellAnchor>
    <xdr:from>
      <xdr:col>8</xdr:col>
      <xdr:colOff>25400</xdr:colOff>
      <xdr:row>18</xdr:row>
      <xdr:rowOff>25400</xdr:rowOff>
    </xdr:from>
    <xdr:to>
      <xdr:col>8</xdr:col>
      <xdr:colOff>790000</xdr:colOff>
      <xdr:row>18</xdr:row>
      <xdr:rowOff>292100</xdr:rowOff>
    </xdr:to>
    <xdr:sp macro="[0]!MaakEmailOrderbehandelaar" textlink="">
      <xdr:nvSpPr>
        <xdr:cNvPr id="48" name="btnEmail_19">
          <a:extLst>
            <a:ext uri="{FF2B5EF4-FFF2-40B4-BE49-F238E27FC236}">
              <a16:creationId xmlns:a16="http://schemas.microsoft.com/office/drawing/2014/main" id="{41403D04-E803-2054-88E3-FE48F66D5F3E}"/>
            </a:ext>
          </a:extLst>
        </xdr:cNvPr>
        <xdr:cNvSpPr/>
      </xdr:nvSpPr>
      <xdr:spPr>
        <a:xfrm>
          <a:off x="11341100" y="4940300"/>
          <a:ext cx="796925" cy="215900"/>
        </a:xfrm>
        <a:prstGeom prst="roundRect">
          <a:avLst/>
        </a:prstGeom>
        <a:solidFill>
          <a:srgbClr val="007F82"/>
        </a:solidFill>
        <a:ln>
          <a:solidFill>
            <a:srgbClr val="787878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nl-NL" sz="900" b="1">
              <a:solidFill>
                <a:srgbClr val="FFFFFF"/>
              </a:solidFill>
            </a:rPr>
            <a:t>E-mail</a:t>
          </a:r>
        </a:p>
      </xdr:txBody>
    </xdr:sp>
    <xdr:clientData/>
  </xdr:twoCellAnchor>
  <xdr:twoCellAnchor>
    <xdr:from>
      <xdr:col>7</xdr:col>
      <xdr:colOff>25400</xdr:colOff>
      <xdr:row>19</xdr:row>
      <xdr:rowOff>25400</xdr:rowOff>
    </xdr:from>
    <xdr:to>
      <xdr:col>7</xdr:col>
      <xdr:colOff>790000</xdr:colOff>
      <xdr:row>19</xdr:row>
      <xdr:rowOff>292100</xdr:rowOff>
    </xdr:to>
    <xdr:sp macro="[0]!RegelNaarArchief" textlink="">
      <xdr:nvSpPr>
        <xdr:cNvPr id="49" name="btnBinnen_20">
          <a:extLst>
            <a:ext uri="{FF2B5EF4-FFF2-40B4-BE49-F238E27FC236}">
              <a16:creationId xmlns:a16="http://schemas.microsoft.com/office/drawing/2014/main" id="{CC259BE5-CA04-BEB7-D5DE-FA4248F6627B}"/>
            </a:ext>
          </a:extLst>
        </xdr:cNvPr>
        <xdr:cNvSpPr/>
      </xdr:nvSpPr>
      <xdr:spPr>
        <a:xfrm>
          <a:off x="10493375" y="5207000"/>
          <a:ext cx="796925" cy="215900"/>
        </a:xfrm>
        <a:prstGeom prst="roundRect">
          <a:avLst/>
        </a:prstGeom>
        <a:solidFill>
          <a:srgbClr val="142D4E"/>
        </a:solidFill>
        <a:ln>
          <a:solidFill>
            <a:srgbClr val="787878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nl-NL" sz="900" b="1">
              <a:solidFill>
                <a:srgbClr val="FFFFFF"/>
              </a:solidFill>
            </a:rPr>
            <a:t>Binnen</a:t>
          </a:r>
        </a:p>
      </xdr:txBody>
    </xdr:sp>
    <xdr:clientData/>
  </xdr:twoCellAnchor>
  <xdr:twoCellAnchor>
    <xdr:from>
      <xdr:col>8</xdr:col>
      <xdr:colOff>25400</xdr:colOff>
      <xdr:row>19</xdr:row>
      <xdr:rowOff>25400</xdr:rowOff>
    </xdr:from>
    <xdr:to>
      <xdr:col>8</xdr:col>
      <xdr:colOff>790000</xdr:colOff>
      <xdr:row>19</xdr:row>
      <xdr:rowOff>292100</xdr:rowOff>
    </xdr:to>
    <xdr:sp macro="[0]!MaakEmailOrderbehandelaar" textlink="">
      <xdr:nvSpPr>
        <xdr:cNvPr id="50" name="btnEmail_20">
          <a:extLst>
            <a:ext uri="{FF2B5EF4-FFF2-40B4-BE49-F238E27FC236}">
              <a16:creationId xmlns:a16="http://schemas.microsoft.com/office/drawing/2014/main" id="{02B68772-D4AF-FA50-C04B-510A46B3310C}"/>
            </a:ext>
          </a:extLst>
        </xdr:cNvPr>
        <xdr:cNvSpPr/>
      </xdr:nvSpPr>
      <xdr:spPr>
        <a:xfrm>
          <a:off x="11341100" y="5207000"/>
          <a:ext cx="796925" cy="215900"/>
        </a:xfrm>
        <a:prstGeom prst="roundRect">
          <a:avLst/>
        </a:prstGeom>
        <a:solidFill>
          <a:srgbClr val="007F82"/>
        </a:solidFill>
        <a:ln>
          <a:solidFill>
            <a:srgbClr val="787878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nl-NL" sz="900" b="1">
              <a:solidFill>
                <a:srgbClr val="FFFFFF"/>
              </a:solidFill>
            </a:rPr>
            <a:t>E-mail</a:t>
          </a:r>
        </a:p>
      </xdr:txBody>
    </xdr:sp>
    <xdr:clientData/>
  </xdr:twoCellAnchor>
  <xdr:twoCellAnchor>
    <xdr:from>
      <xdr:col>7</xdr:col>
      <xdr:colOff>25400</xdr:colOff>
      <xdr:row>20</xdr:row>
      <xdr:rowOff>25400</xdr:rowOff>
    </xdr:from>
    <xdr:to>
      <xdr:col>7</xdr:col>
      <xdr:colOff>790000</xdr:colOff>
      <xdr:row>20</xdr:row>
      <xdr:rowOff>292100</xdr:rowOff>
    </xdr:to>
    <xdr:sp macro="[0]!RegelNaarArchief" textlink="">
      <xdr:nvSpPr>
        <xdr:cNvPr id="51" name="btnBinnen_21">
          <a:extLst>
            <a:ext uri="{FF2B5EF4-FFF2-40B4-BE49-F238E27FC236}">
              <a16:creationId xmlns:a16="http://schemas.microsoft.com/office/drawing/2014/main" id="{AD99952C-894D-CFC5-7352-A57AC64E3A20}"/>
            </a:ext>
          </a:extLst>
        </xdr:cNvPr>
        <xdr:cNvSpPr/>
      </xdr:nvSpPr>
      <xdr:spPr>
        <a:xfrm>
          <a:off x="10493375" y="5473700"/>
          <a:ext cx="796925" cy="215900"/>
        </a:xfrm>
        <a:prstGeom prst="roundRect">
          <a:avLst/>
        </a:prstGeom>
        <a:solidFill>
          <a:srgbClr val="142D4E"/>
        </a:solidFill>
        <a:ln>
          <a:solidFill>
            <a:srgbClr val="787878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nl-NL" sz="900" b="1">
              <a:solidFill>
                <a:srgbClr val="FFFFFF"/>
              </a:solidFill>
            </a:rPr>
            <a:t>Binnen</a:t>
          </a:r>
        </a:p>
      </xdr:txBody>
    </xdr:sp>
    <xdr:clientData/>
  </xdr:twoCellAnchor>
  <xdr:twoCellAnchor>
    <xdr:from>
      <xdr:col>8</xdr:col>
      <xdr:colOff>25400</xdr:colOff>
      <xdr:row>20</xdr:row>
      <xdr:rowOff>25400</xdr:rowOff>
    </xdr:from>
    <xdr:to>
      <xdr:col>8</xdr:col>
      <xdr:colOff>790000</xdr:colOff>
      <xdr:row>20</xdr:row>
      <xdr:rowOff>292100</xdr:rowOff>
    </xdr:to>
    <xdr:sp macro="[0]!MaakEmailOrderbehandelaar" textlink="">
      <xdr:nvSpPr>
        <xdr:cNvPr id="52" name="btnEmail_21">
          <a:extLst>
            <a:ext uri="{FF2B5EF4-FFF2-40B4-BE49-F238E27FC236}">
              <a16:creationId xmlns:a16="http://schemas.microsoft.com/office/drawing/2014/main" id="{CDC138C8-A8E6-6237-27C4-FFC37D59BAB9}"/>
            </a:ext>
          </a:extLst>
        </xdr:cNvPr>
        <xdr:cNvSpPr/>
      </xdr:nvSpPr>
      <xdr:spPr>
        <a:xfrm>
          <a:off x="11341100" y="5473700"/>
          <a:ext cx="796925" cy="215900"/>
        </a:xfrm>
        <a:prstGeom prst="roundRect">
          <a:avLst/>
        </a:prstGeom>
        <a:solidFill>
          <a:srgbClr val="007F82"/>
        </a:solidFill>
        <a:ln>
          <a:solidFill>
            <a:srgbClr val="787878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nl-NL" sz="900" b="1">
              <a:solidFill>
                <a:srgbClr val="FFFFFF"/>
              </a:solidFill>
            </a:rPr>
            <a:t>E-mail</a:t>
          </a:r>
        </a:p>
      </xdr:txBody>
    </xdr:sp>
    <xdr:clientData/>
  </xdr:twoCellAnchor>
  <xdr:twoCellAnchor>
    <xdr:from>
      <xdr:col>7</xdr:col>
      <xdr:colOff>25400</xdr:colOff>
      <xdr:row>21</xdr:row>
      <xdr:rowOff>25400</xdr:rowOff>
    </xdr:from>
    <xdr:to>
      <xdr:col>7</xdr:col>
      <xdr:colOff>790000</xdr:colOff>
      <xdr:row>21</xdr:row>
      <xdr:rowOff>292100</xdr:rowOff>
    </xdr:to>
    <xdr:sp macro="[0]!RegelNaarArchief" textlink="">
      <xdr:nvSpPr>
        <xdr:cNvPr id="53" name="btnBinnen_22">
          <a:extLst>
            <a:ext uri="{FF2B5EF4-FFF2-40B4-BE49-F238E27FC236}">
              <a16:creationId xmlns:a16="http://schemas.microsoft.com/office/drawing/2014/main" id="{B0DD76FA-50E9-4E58-A7FF-1B64E870C3E3}"/>
            </a:ext>
          </a:extLst>
        </xdr:cNvPr>
        <xdr:cNvSpPr/>
      </xdr:nvSpPr>
      <xdr:spPr>
        <a:xfrm>
          <a:off x="10493375" y="5740400"/>
          <a:ext cx="796925" cy="215900"/>
        </a:xfrm>
        <a:prstGeom prst="roundRect">
          <a:avLst/>
        </a:prstGeom>
        <a:solidFill>
          <a:srgbClr val="142D4E"/>
        </a:solidFill>
        <a:ln>
          <a:solidFill>
            <a:srgbClr val="787878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nl-NL" sz="900" b="1">
              <a:solidFill>
                <a:srgbClr val="FFFFFF"/>
              </a:solidFill>
            </a:rPr>
            <a:t>Binnen</a:t>
          </a:r>
        </a:p>
      </xdr:txBody>
    </xdr:sp>
    <xdr:clientData/>
  </xdr:twoCellAnchor>
  <xdr:twoCellAnchor>
    <xdr:from>
      <xdr:col>8</xdr:col>
      <xdr:colOff>25400</xdr:colOff>
      <xdr:row>21</xdr:row>
      <xdr:rowOff>25400</xdr:rowOff>
    </xdr:from>
    <xdr:to>
      <xdr:col>8</xdr:col>
      <xdr:colOff>790000</xdr:colOff>
      <xdr:row>21</xdr:row>
      <xdr:rowOff>292100</xdr:rowOff>
    </xdr:to>
    <xdr:sp macro="[0]!MaakEmailOrderbehandelaar" textlink="">
      <xdr:nvSpPr>
        <xdr:cNvPr id="54" name="btnEmail_22">
          <a:extLst>
            <a:ext uri="{FF2B5EF4-FFF2-40B4-BE49-F238E27FC236}">
              <a16:creationId xmlns:a16="http://schemas.microsoft.com/office/drawing/2014/main" id="{19BCE6D8-888A-BFA8-086C-8EC0FBB58D0A}"/>
            </a:ext>
          </a:extLst>
        </xdr:cNvPr>
        <xdr:cNvSpPr/>
      </xdr:nvSpPr>
      <xdr:spPr>
        <a:xfrm>
          <a:off x="11341100" y="5740400"/>
          <a:ext cx="796925" cy="215900"/>
        </a:xfrm>
        <a:prstGeom prst="roundRect">
          <a:avLst/>
        </a:prstGeom>
        <a:solidFill>
          <a:srgbClr val="007F82"/>
        </a:solidFill>
        <a:ln>
          <a:solidFill>
            <a:srgbClr val="787878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nl-NL" sz="900" b="1">
              <a:solidFill>
                <a:srgbClr val="FFFFFF"/>
              </a:solidFill>
            </a:rPr>
            <a:t>E-mail</a:t>
          </a:r>
        </a:p>
      </xdr:txBody>
    </xdr:sp>
    <xdr:clientData/>
  </xdr:twoCellAnchor>
  <xdr:twoCellAnchor>
    <xdr:from>
      <xdr:col>7</xdr:col>
      <xdr:colOff>25400</xdr:colOff>
      <xdr:row>22</xdr:row>
      <xdr:rowOff>25400</xdr:rowOff>
    </xdr:from>
    <xdr:to>
      <xdr:col>7</xdr:col>
      <xdr:colOff>790000</xdr:colOff>
      <xdr:row>22</xdr:row>
      <xdr:rowOff>292100</xdr:rowOff>
    </xdr:to>
    <xdr:sp macro="[0]!RegelNaarArchief" textlink="">
      <xdr:nvSpPr>
        <xdr:cNvPr id="55" name="btnBinnen_23">
          <a:extLst>
            <a:ext uri="{FF2B5EF4-FFF2-40B4-BE49-F238E27FC236}">
              <a16:creationId xmlns:a16="http://schemas.microsoft.com/office/drawing/2014/main" id="{1DF827C8-0D77-62C7-439A-70DABCB2445D}"/>
            </a:ext>
          </a:extLst>
        </xdr:cNvPr>
        <xdr:cNvSpPr/>
      </xdr:nvSpPr>
      <xdr:spPr>
        <a:xfrm>
          <a:off x="10493375" y="6007100"/>
          <a:ext cx="796925" cy="215900"/>
        </a:xfrm>
        <a:prstGeom prst="roundRect">
          <a:avLst/>
        </a:prstGeom>
        <a:solidFill>
          <a:srgbClr val="142D4E"/>
        </a:solidFill>
        <a:ln>
          <a:solidFill>
            <a:srgbClr val="787878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nl-NL" sz="900" b="1">
              <a:solidFill>
                <a:srgbClr val="FFFFFF"/>
              </a:solidFill>
            </a:rPr>
            <a:t>Binnen</a:t>
          </a:r>
        </a:p>
      </xdr:txBody>
    </xdr:sp>
    <xdr:clientData/>
  </xdr:twoCellAnchor>
  <xdr:twoCellAnchor>
    <xdr:from>
      <xdr:col>8</xdr:col>
      <xdr:colOff>25400</xdr:colOff>
      <xdr:row>22</xdr:row>
      <xdr:rowOff>25400</xdr:rowOff>
    </xdr:from>
    <xdr:to>
      <xdr:col>8</xdr:col>
      <xdr:colOff>790000</xdr:colOff>
      <xdr:row>22</xdr:row>
      <xdr:rowOff>292100</xdr:rowOff>
    </xdr:to>
    <xdr:sp macro="[0]!MaakEmailOrderbehandelaar" textlink="">
      <xdr:nvSpPr>
        <xdr:cNvPr id="56" name="btnEmail_23">
          <a:extLst>
            <a:ext uri="{FF2B5EF4-FFF2-40B4-BE49-F238E27FC236}">
              <a16:creationId xmlns:a16="http://schemas.microsoft.com/office/drawing/2014/main" id="{3C682A26-BC04-98B8-6F3C-95CCC2426F78}"/>
            </a:ext>
          </a:extLst>
        </xdr:cNvPr>
        <xdr:cNvSpPr/>
      </xdr:nvSpPr>
      <xdr:spPr>
        <a:xfrm>
          <a:off x="11341100" y="6007100"/>
          <a:ext cx="796925" cy="215900"/>
        </a:xfrm>
        <a:prstGeom prst="roundRect">
          <a:avLst/>
        </a:prstGeom>
        <a:solidFill>
          <a:srgbClr val="007F82"/>
        </a:solidFill>
        <a:ln>
          <a:solidFill>
            <a:srgbClr val="787878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nl-NL" sz="900" b="1">
              <a:solidFill>
                <a:srgbClr val="FFFFFF"/>
              </a:solidFill>
            </a:rPr>
            <a:t>E-mail</a:t>
          </a:r>
        </a:p>
      </xdr:txBody>
    </xdr:sp>
    <xdr:clientData/>
  </xdr:twoCellAnchor>
  <xdr:twoCellAnchor>
    <xdr:from>
      <xdr:col>7</xdr:col>
      <xdr:colOff>25400</xdr:colOff>
      <xdr:row>23</xdr:row>
      <xdr:rowOff>25400</xdr:rowOff>
    </xdr:from>
    <xdr:to>
      <xdr:col>7</xdr:col>
      <xdr:colOff>790000</xdr:colOff>
      <xdr:row>23</xdr:row>
      <xdr:rowOff>292100</xdr:rowOff>
    </xdr:to>
    <xdr:sp macro="[0]!RegelNaarArchief" textlink="">
      <xdr:nvSpPr>
        <xdr:cNvPr id="8" name="btnBinnen_24">
          <a:extLst>
            <a:ext uri="{FF2B5EF4-FFF2-40B4-BE49-F238E27FC236}">
              <a16:creationId xmlns:a16="http://schemas.microsoft.com/office/drawing/2014/main" id="{FDCD18C6-0B29-4612-77E2-9A68167423C2}"/>
            </a:ext>
          </a:extLst>
        </xdr:cNvPr>
        <xdr:cNvSpPr/>
      </xdr:nvSpPr>
      <xdr:spPr>
        <a:xfrm>
          <a:off x="10493375" y="6273800"/>
          <a:ext cx="796925" cy="215900"/>
        </a:xfrm>
        <a:prstGeom prst="roundRect">
          <a:avLst/>
        </a:prstGeom>
        <a:solidFill>
          <a:srgbClr val="142D4E"/>
        </a:solidFill>
        <a:ln>
          <a:solidFill>
            <a:srgbClr val="787878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nl-NL" sz="900" b="1">
              <a:solidFill>
                <a:srgbClr val="FFFFFF"/>
              </a:solidFill>
            </a:rPr>
            <a:t>Binnen</a:t>
          </a:r>
        </a:p>
      </xdr:txBody>
    </xdr:sp>
    <xdr:clientData/>
  </xdr:twoCellAnchor>
  <xdr:twoCellAnchor>
    <xdr:from>
      <xdr:col>8</xdr:col>
      <xdr:colOff>25400</xdr:colOff>
      <xdr:row>23</xdr:row>
      <xdr:rowOff>25400</xdr:rowOff>
    </xdr:from>
    <xdr:to>
      <xdr:col>8</xdr:col>
      <xdr:colOff>790000</xdr:colOff>
      <xdr:row>23</xdr:row>
      <xdr:rowOff>292100</xdr:rowOff>
    </xdr:to>
    <xdr:sp macro="[0]!MaakEmailOrderbehandelaar" textlink="">
      <xdr:nvSpPr>
        <xdr:cNvPr id="23" name="btnEmail_24">
          <a:extLst>
            <a:ext uri="{FF2B5EF4-FFF2-40B4-BE49-F238E27FC236}">
              <a16:creationId xmlns:a16="http://schemas.microsoft.com/office/drawing/2014/main" id="{DC745DC7-0C86-3AC7-58AD-F8B9AF3F0695}"/>
            </a:ext>
          </a:extLst>
        </xdr:cNvPr>
        <xdr:cNvSpPr/>
      </xdr:nvSpPr>
      <xdr:spPr>
        <a:xfrm>
          <a:off x="11341100" y="6273800"/>
          <a:ext cx="796925" cy="215900"/>
        </a:xfrm>
        <a:prstGeom prst="roundRect">
          <a:avLst/>
        </a:prstGeom>
        <a:solidFill>
          <a:srgbClr val="007F82"/>
        </a:solidFill>
        <a:ln>
          <a:solidFill>
            <a:srgbClr val="787878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nl-NL" sz="900" b="1">
              <a:solidFill>
                <a:srgbClr val="FFFFFF"/>
              </a:solidFill>
            </a:rPr>
            <a:t>E-mail</a:t>
          </a:r>
        </a:p>
      </xdr:txBody>
    </xdr:sp>
    <xdr:clientData/>
  </xdr:twoCellAnchor>
  <xdr:twoCellAnchor>
    <xdr:from>
      <xdr:col>7</xdr:col>
      <xdr:colOff>25400</xdr:colOff>
      <xdr:row>24</xdr:row>
      <xdr:rowOff>25400</xdr:rowOff>
    </xdr:from>
    <xdr:to>
      <xdr:col>7</xdr:col>
      <xdr:colOff>790000</xdr:colOff>
      <xdr:row>24</xdr:row>
      <xdr:rowOff>292100</xdr:rowOff>
    </xdr:to>
    <xdr:sp macro="[0]!RegelNaarArchief" textlink="">
      <xdr:nvSpPr>
        <xdr:cNvPr id="57" name="btnBinnen_25">
          <a:extLst>
            <a:ext uri="{FF2B5EF4-FFF2-40B4-BE49-F238E27FC236}">
              <a16:creationId xmlns:a16="http://schemas.microsoft.com/office/drawing/2014/main" id="{D17185F3-B9FC-A62C-1407-79CF1E0E14EA}"/>
            </a:ext>
          </a:extLst>
        </xdr:cNvPr>
        <xdr:cNvSpPr/>
      </xdr:nvSpPr>
      <xdr:spPr>
        <a:xfrm>
          <a:off x="10493375" y="6540500"/>
          <a:ext cx="796925" cy="215900"/>
        </a:xfrm>
        <a:prstGeom prst="roundRect">
          <a:avLst/>
        </a:prstGeom>
        <a:solidFill>
          <a:srgbClr val="142D4E"/>
        </a:solidFill>
        <a:ln>
          <a:solidFill>
            <a:srgbClr val="787878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nl-NL" sz="900" b="1">
              <a:solidFill>
                <a:srgbClr val="FFFFFF"/>
              </a:solidFill>
            </a:rPr>
            <a:t>Binnen</a:t>
          </a:r>
        </a:p>
      </xdr:txBody>
    </xdr:sp>
    <xdr:clientData/>
  </xdr:twoCellAnchor>
  <xdr:twoCellAnchor>
    <xdr:from>
      <xdr:col>8</xdr:col>
      <xdr:colOff>25400</xdr:colOff>
      <xdr:row>24</xdr:row>
      <xdr:rowOff>25400</xdr:rowOff>
    </xdr:from>
    <xdr:to>
      <xdr:col>8</xdr:col>
      <xdr:colOff>790000</xdr:colOff>
      <xdr:row>24</xdr:row>
      <xdr:rowOff>292100</xdr:rowOff>
    </xdr:to>
    <xdr:sp macro="[0]!MaakEmailOrderbehandelaar" textlink="">
      <xdr:nvSpPr>
        <xdr:cNvPr id="58" name="btnEmail_25">
          <a:extLst>
            <a:ext uri="{FF2B5EF4-FFF2-40B4-BE49-F238E27FC236}">
              <a16:creationId xmlns:a16="http://schemas.microsoft.com/office/drawing/2014/main" id="{800977D7-DFAB-A6B6-79AC-B68FAC62C503}"/>
            </a:ext>
          </a:extLst>
        </xdr:cNvPr>
        <xdr:cNvSpPr/>
      </xdr:nvSpPr>
      <xdr:spPr>
        <a:xfrm>
          <a:off x="11341100" y="6540500"/>
          <a:ext cx="796925" cy="215900"/>
        </a:xfrm>
        <a:prstGeom prst="roundRect">
          <a:avLst/>
        </a:prstGeom>
        <a:solidFill>
          <a:srgbClr val="007F82"/>
        </a:solidFill>
        <a:ln>
          <a:solidFill>
            <a:srgbClr val="787878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nl-NL" sz="900" b="1">
              <a:solidFill>
                <a:srgbClr val="FFFFFF"/>
              </a:solidFill>
            </a:rPr>
            <a:t>E-mail</a:t>
          </a:r>
        </a:p>
      </xdr:txBody>
    </xdr:sp>
    <xdr:clientData/>
  </xdr:twoCellAnchor>
  <xdr:twoCellAnchor>
    <xdr:from>
      <xdr:col>9</xdr:col>
      <xdr:colOff>25400</xdr:colOff>
      <xdr:row>23</xdr:row>
      <xdr:rowOff>25400</xdr:rowOff>
    </xdr:from>
    <xdr:to>
      <xdr:col>9</xdr:col>
      <xdr:colOff>790000</xdr:colOff>
      <xdr:row>23</xdr:row>
      <xdr:rowOff>292100</xdr:rowOff>
    </xdr:to>
    <xdr:sp macro="[0]!OpvolgenPO" textlink="">
      <xdr:nvSpPr>
        <xdr:cNvPr id="59" name="btnPOOpvolg_24">
          <a:extLst>
            <a:ext uri="{FF2B5EF4-FFF2-40B4-BE49-F238E27FC236}">
              <a16:creationId xmlns:a16="http://schemas.microsoft.com/office/drawing/2014/main" id="{152A1F40-923C-914F-C776-A1AAE6D39E21}"/>
            </a:ext>
          </a:extLst>
        </xdr:cNvPr>
        <xdr:cNvSpPr/>
      </xdr:nvSpPr>
      <xdr:spPr>
        <a:xfrm>
          <a:off x="12188825" y="6273800"/>
          <a:ext cx="1063625" cy="215900"/>
        </a:xfrm>
        <a:prstGeom prst="roundRect">
          <a:avLst/>
        </a:prstGeom>
        <a:solidFill>
          <a:srgbClr val="E3EBF4"/>
        </a:solidFill>
        <a:ln w="12700">
          <a:solidFill>
            <a:srgbClr val="787878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0" rIns="25400" bIns="0" rtlCol="0" anchor="ctr"/>
        <a:lstStyle/>
        <a:p>
          <a:pPr algn="ctr"/>
          <a:r>
            <a:rPr lang="nl-NL" sz="900" b="1">
              <a:solidFill>
                <a:srgbClr val="142D4E"/>
              </a:solidFill>
              <a:latin typeface="Aptos" panose="020B0004020202020204" pitchFamily="34" charset="0"/>
            </a:rPr>
            <a:t>PO opvolgen</a:t>
          </a:r>
        </a:p>
      </xdr:txBody>
    </xdr:sp>
    <xdr:clientData/>
  </xdr:twoCellAnchor>
  <xdr:twoCellAnchor>
    <xdr:from>
      <xdr:col>9</xdr:col>
      <xdr:colOff>25400</xdr:colOff>
      <xdr:row>24</xdr:row>
      <xdr:rowOff>25400</xdr:rowOff>
    </xdr:from>
    <xdr:to>
      <xdr:col>9</xdr:col>
      <xdr:colOff>790000</xdr:colOff>
      <xdr:row>24</xdr:row>
      <xdr:rowOff>292100</xdr:rowOff>
    </xdr:to>
    <xdr:sp macro="[0]!OpvolgenPO" textlink="">
      <xdr:nvSpPr>
        <xdr:cNvPr id="60" name="btnPOOpvolg_25">
          <a:extLst>
            <a:ext uri="{FF2B5EF4-FFF2-40B4-BE49-F238E27FC236}">
              <a16:creationId xmlns:a16="http://schemas.microsoft.com/office/drawing/2014/main" id="{E074AF2E-AE70-4FF0-7D95-566BD768BDAD}"/>
            </a:ext>
          </a:extLst>
        </xdr:cNvPr>
        <xdr:cNvSpPr/>
      </xdr:nvSpPr>
      <xdr:spPr>
        <a:xfrm>
          <a:off x="12188825" y="6540500"/>
          <a:ext cx="1063625" cy="215900"/>
        </a:xfrm>
        <a:prstGeom prst="roundRect">
          <a:avLst/>
        </a:prstGeom>
        <a:solidFill>
          <a:srgbClr val="E3EBF4"/>
        </a:solidFill>
        <a:ln w="12700">
          <a:solidFill>
            <a:srgbClr val="787878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0" rIns="25400" bIns="0" rtlCol="0" anchor="ctr"/>
        <a:lstStyle/>
        <a:p>
          <a:pPr algn="ctr"/>
          <a:r>
            <a:rPr lang="nl-NL" sz="900" b="1">
              <a:solidFill>
                <a:srgbClr val="142D4E"/>
              </a:solidFill>
              <a:latin typeface="Aptos" panose="020B0004020202020204" pitchFamily="34" charset="0"/>
            </a:rPr>
            <a:t>PO opvolgen</a:t>
          </a: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s://ac-p-ascintranet.azurewebsites.net/OrderCaseTracking/ReturnOrder?orderNr=62313947" TargetMode="External"/><Relationship Id="rId13" Type="http://schemas.openxmlformats.org/officeDocument/2006/relationships/hyperlink" Target="https://ac-p-ascintranet.azurewebsites.net/OrderCaseTracking/ReturnOrder?orderNr=62314247" TargetMode="External"/><Relationship Id="rId3" Type="http://schemas.openxmlformats.org/officeDocument/2006/relationships/hyperlink" Target="https://ac-p-ascintranet.azurewebsites.net/OrderCaseTracking/ReturnOrder?orderNr=62313395" TargetMode="External"/><Relationship Id="rId7" Type="http://schemas.openxmlformats.org/officeDocument/2006/relationships/hyperlink" Target="https://ac-p-ascintranet.azurewebsites.net/OrderCaseTracking/ReturnOrder?orderNr=62313944" TargetMode="External"/><Relationship Id="rId12" Type="http://schemas.openxmlformats.org/officeDocument/2006/relationships/hyperlink" Target="https://ac-p-ascintranet.azurewebsites.net/OrderCaseTracking/ReturnOrder?orderNr=62314246" TargetMode="External"/><Relationship Id="rId17" Type="http://schemas.openxmlformats.org/officeDocument/2006/relationships/drawing" Target="../drawings/drawing1.xml"/><Relationship Id="rId2" Type="http://schemas.openxmlformats.org/officeDocument/2006/relationships/hyperlink" Target="https://ac-p-ascintranet.azurewebsites.net/OrderCaseTracking/ReturnOrder?orderNr=62313280" TargetMode="External"/><Relationship Id="rId16" Type="http://schemas.openxmlformats.org/officeDocument/2006/relationships/printerSettings" Target="../printerSettings/printerSettings1.bin"/><Relationship Id="rId1" Type="http://schemas.openxmlformats.org/officeDocument/2006/relationships/hyperlink" Target="https://ac-p-ascintranet.azurewebsites.net/OrderCaseTracking/ReturnOrder?orderNr=62313266" TargetMode="External"/><Relationship Id="rId6" Type="http://schemas.openxmlformats.org/officeDocument/2006/relationships/hyperlink" Target="https://ac-p-ascintranet.azurewebsites.net/OrderCaseTracking/ReturnOrder?orderNr=62313930" TargetMode="External"/><Relationship Id="rId11" Type="http://schemas.openxmlformats.org/officeDocument/2006/relationships/hyperlink" Target="https://ac-p-ascintranet.azurewebsites.net/OrderCaseTracking/ReturnOrder?orderNr=62314243" TargetMode="External"/><Relationship Id="rId5" Type="http://schemas.openxmlformats.org/officeDocument/2006/relationships/hyperlink" Target="https://ac-p-ascintranet.azurewebsites.net/OrderCaseTracking/ReturnOrder?orderNr=62313686" TargetMode="External"/><Relationship Id="rId15" Type="http://schemas.openxmlformats.org/officeDocument/2006/relationships/hyperlink" Target="https://ac-p-ascintranet.azurewebsites.net/OrderCaseTracking/ReturnOrder?orderNr=62314288" TargetMode="External"/><Relationship Id="rId10" Type="http://schemas.openxmlformats.org/officeDocument/2006/relationships/hyperlink" Target="https://ac-p-ascintranet.azurewebsites.net/OrderCaseTracking/ReturnOrder?orderNr=62314141" TargetMode="External"/><Relationship Id="rId4" Type="http://schemas.openxmlformats.org/officeDocument/2006/relationships/hyperlink" Target="https://ac-p-ascintranet.azurewebsites.net/OrderCaseTracking/ReturnOrder?orderNr=62313555" TargetMode="External"/><Relationship Id="rId9" Type="http://schemas.openxmlformats.org/officeDocument/2006/relationships/hyperlink" Target="https://ac-p-ascintranet.azurewebsites.net/OrderCaseTracking/ReturnOrder?orderNr=62314018" TargetMode="External"/><Relationship Id="rId14" Type="http://schemas.openxmlformats.org/officeDocument/2006/relationships/hyperlink" Target="https://ac-p-ascintranet.azurewebsites.net/OrderCaseTracking/ReturnOrder?orderNr=62314264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dhl.com/nl-nl/home/traceren.html?tracking-id=51%203985%201603&amp;submit=1" TargetMode="External"/><Relationship Id="rId18" Type="http://schemas.openxmlformats.org/officeDocument/2006/relationships/hyperlink" Target="https://ac-p-ascintranet.azurewebsites.net/OrderCaseTracking/ReturnOrder?orderNr=62313794" TargetMode="External"/><Relationship Id="rId26" Type="http://schemas.openxmlformats.org/officeDocument/2006/relationships/hyperlink" Target="https://ac-p-ascintranet.azurewebsites.net/OrderCaseTracking/ReturnOrder?orderNr=62313553" TargetMode="External"/><Relationship Id="rId21" Type="http://schemas.openxmlformats.org/officeDocument/2006/relationships/hyperlink" Target="https://ac-p-ascintranet.azurewebsites.net/OrderCaseTracking/ReturnOrder?orderNr=62313599" TargetMode="External"/><Relationship Id="rId34" Type="http://schemas.openxmlformats.org/officeDocument/2006/relationships/hyperlink" Target="https://ac-p-ascintranet.azurewebsites.net/OrderCaseTracking/ReturnOrder?orderNr=62313510" TargetMode="External"/><Relationship Id="rId7" Type="http://schemas.openxmlformats.org/officeDocument/2006/relationships/hyperlink" Target="https://ac-p-ascintranet.azurewebsites.net/OrderCaseTracking/ReturnOrder?orderNr=62313331" TargetMode="External"/><Relationship Id="rId12" Type="http://schemas.openxmlformats.org/officeDocument/2006/relationships/hyperlink" Target="https://ac-p-ascintranet.azurewebsites.net/OrderCaseTracking/ReturnOrder?orderNr=62313407" TargetMode="External"/><Relationship Id="rId17" Type="http://schemas.openxmlformats.org/officeDocument/2006/relationships/hyperlink" Target="https://ac-p-ascintranet.azurewebsites.net/OrderCaseTracking/ReturnOrder?orderNr=62313779" TargetMode="External"/><Relationship Id="rId25" Type="http://schemas.openxmlformats.org/officeDocument/2006/relationships/hyperlink" Target="https://ac-p-ascintranet.azurewebsites.net/OrderCaseTracking/ReturnOrder?orderNr=62313931" TargetMode="External"/><Relationship Id="rId33" Type="http://schemas.openxmlformats.org/officeDocument/2006/relationships/hyperlink" Target="https://ac-p-ascintranet.azurewebsites.net/OrderCaseTracking/ReturnOrder?orderNr=62313554" TargetMode="External"/><Relationship Id="rId38" Type="http://schemas.openxmlformats.org/officeDocument/2006/relationships/hyperlink" Target="https://ac-p-ascintranet.azurewebsites.net/OrderCaseTracking/ReturnOrder?orderNr=62314188" TargetMode="External"/><Relationship Id="rId2" Type="http://schemas.openxmlformats.org/officeDocument/2006/relationships/hyperlink" Target="https://ac-p-ascintranet.azurewebsites.net/OrderCaseTracking/ReturnOrder?orderNr=62313343" TargetMode="External"/><Relationship Id="rId16" Type="http://schemas.openxmlformats.org/officeDocument/2006/relationships/hyperlink" Target="https://ac-p-ascintranet.azurewebsites.net/OrderCaseTracking/ReturnOrder?orderNr=62313789" TargetMode="External"/><Relationship Id="rId20" Type="http://schemas.openxmlformats.org/officeDocument/2006/relationships/hyperlink" Target="https://ac-p-ascintranet.azurewebsites.net/OrderCaseTracking/ReturnOrder?orderNr=62313553" TargetMode="External"/><Relationship Id="rId29" Type="http://schemas.openxmlformats.org/officeDocument/2006/relationships/hyperlink" Target="https://ac-p-ascintranet.azurewebsites.net/OrderCaseTracking/ReturnOrder?orderNr=62314082" TargetMode="External"/><Relationship Id="rId1" Type="http://schemas.openxmlformats.org/officeDocument/2006/relationships/hyperlink" Target="https://ac-p-ascintranet.azurewebsites.net/OrderCaseTracking/ReturnOrder?orderNr=62313275" TargetMode="External"/><Relationship Id="rId6" Type="http://schemas.openxmlformats.org/officeDocument/2006/relationships/hyperlink" Target="https://ac-p-ascintranet.azurewebsites.net/OrderCaseTracking/ReturnOrder?orderNr=62313417" TargetMode="External"/><Relationship Id="rId11" Type="http://schemas.openxmlformats.org/officeDocument/2006/relationships/hyperlink" Target="https://ac-p-ascintranet.azurewebsites.net/OrderCaseTracking/ReturnOrder?orderNr=62313589" TargetMode="External"/><Relationship Id="rId24" Type="http://schemas.openxmlformats.org/officeDocument/2006/relationships/hyperlink" Target="https://ac-p-ascintranet.azurewebsites.net/OrderCaseTracking/ReturnOrder?orderNr=62313597" TargetMode="External"/><Relationship Id="rId32" Type="http://schemas.openxmlformats.org/officeDocument/2006/relationships/hyperlink" Target="https://ac-p-ascintranet.azurewebsites.net/OrderCaseTracking/ReturnOrder?orderNr=62314178" TargetMode="External"/><Relationship Id="rId37" Type="http://schemas.openxmlformats.org/officeDocument/2006/relationships/hyperlink" Target="https://ac-p-ascintranet.azurewebsites.net/OrderCaseTracking/ReturnOrder?orderNr=62314077" TargetMode="External"/><Relationship Id="rId5" Type="http://schemas.openxmlformats.org/officeDocument/2006/relationships/hyperlink" Target="https://ac-p-ascintranet.azurewebsites.net/OrderCaseTracking/ReturnOrder?orderNr=62313325" TargetMode="External"/><Relationship Id="rId15" Type="http://schemas.openxmlformats.org/officeDocument/2006/relationships/hyperlink" Target="https://ac-p-ascintranet.azurewebsites.net/OrderCaseTracking/ReturnOrder?orderNr=62313619" TargetMode="External"/><Relationship Id="rId23" Type="http://schemas.openxmlformats.org/officeDocument/2006/relationships/hyperlink" Target="https://ac-p-ascintranet.azurewebsites.net/OrderCaseTracking/ReturnOrder?orderNr=62313502" TargetMode="External"/><Relationship Id="rId28" Type="http://schemas.openxmlformats.org/officeDocument/2006/relationships/hyperlink" Target="https://ac-p-ascintranet.azurewebsites.net/OrderCaseTracking/ReturnOrder?orderNr=62314004" TargetMode="External"/><Relationship Id="rId36" Type="http://schemas.openxmlformats.org/officeDocument/2006/relationships/hyperlink" Target="https://www.dhl.com/nl-nl/home/traceren.html?tracking-id=6976102383" TargetMode="External"/><Relationship Id="rId10" Type="http://schemas.openxmlformats.org/officeDocument/2006/relationships/hyperlink" Target="https://ac-p-ascintranet.azurewebsites.net/OrderCaseTracking/ReturnOrder?orderNr=62313450" TargetMode="External"/><Relationship Id="rId19" Type="http://schemas.openxmlformats.org/officeDocument/2006/relationships/hyperlink" Target="https://ac-p-ascintranet.azurewebsites.net/OrderCaseTracking/ReturnOrder?orderNr=62313519" TargetMode="External"/><Relationship Id="rId31" Type="http://schemas.openxmlformats.org/officeDocument/2006/relationships/hyperlink" Target="https://ac-p-ascintranet.azurewebsites.net/OrderCaseTracking/ReturnOrder?orderNr=62313712" TargetMode="External"/><Relationship Id="rId4" Type="http://schemas.openxmlformats.org/officeDocument/2006/relationships/hyperlink" Target="https://ac-p-ascintranet.azurewebsites.net/OrderCaseTracking/ReturnOrder?orderNr=62313299" TargetMode="External"/><Relationship Id="rId9" Type="http://schemas.openxmlformats.org/officeDocument/2006/relationships/hyperlink" Target="https://ac-p-ascintranet.azurewebsites.net/OrderCaseTracking/ReturnOrder?orderNr=62313476" TargetMode="External"/><Relationship Id="rId14" Type="http://schemas.openxmlformats.org/officeDocument/2006/relationships/hyperlink" Target="https://ac-p-ascintranet.azurewebsites.net/OrderCaseTracking/ReturnOrder?orderNr=62313600" TargetMode="External"/><Relationship Id="rId22" Type="http://schemas.openxmlformats.org/officeDocument/2006/relationships/hyperlink" Target="https://ac-p-ascintranet.azurewebsites.net/OrderCaseTracking/ReturnOrder?orderNr=62313872" TargetMode="External"/><Relationship Id="rId27" Type="http://schemas.openxmlformats.org/officeDocument/2006/relationships/hyperlink" Target="https://mydhl.express.dhl/nl/en/tracking.html" TargetMode="External"/><Relationship Id="rId30" Type="http://schemas.openxmlformats.org/officeDocument/2006/relationships/hyperlink" Target="https://ac-p-ascintranet.azurewebsites.net/OrderCaseTracking/ReturnOrder?orderNr=62313821" TargetMode="External"/><Relationship Id="rId35" Type="http://schemas.openxmlformats.org/officeDocument/2006/relationships/hyperlink" Target="https://ac-p-ascintranet.azurewebsites.net/OrderCaseTracking/ReturnOrder?orderNr=62313822" TargetMode="External"/><Relationship Id="rId8" Type="http://schemas.openxmlformats.org/officeDocument/2006/relationships/hyperlink" Target="https://ac-p-ascintranet.azurewebsites.net/OrderCaseTracking/ReturnOrder?orderNr=62313331" TargetMode="External"/><Relationship Id="rId3" Type="http://schemas.openxmlformats.org/officeDocument/2006/relationships/hyperlink" Target="https://tracking.essers.com/B2B/?FUNCTION=publicweborder&amp;PROFILEID=ESSERSWEBPERMISSION194325&amp;PROFILE=T%26T+EDMAC&amp;BILLING_REFERENCE=4156300500" TargetMode="External"/></Relationships>
</file>

<file path=xl/worksheets/_rels/sheet5.xml.rels><Relationships xmlns="http://schemas.openxmlformats.org/package/2006/relationships"><Relationship Type="http://schemas.openxmlformats.org/officeDocument/2006/relationships/hyperlink" Target="#'Orders'!A1" TargetMode="External" Id="rId1"/><Relationship Type="http://schemas.openxmlformats.org/officeDocument/2006/relationships/hyperlink" Target="#'bestellingen'!A1" TargetMode="External" Id="rId2"/><Relationship Type="http://schemas.openxmlformats.org/officeDocument/2006/relationships/hyperlink" Target="#'archief'!A1" TargetMode="External" Id="rId3"/><Relationship Type="http://schemas.openxmlformats.org/officeDocument/2006/relationships/hyperlink" Target="#'Data'!A1" TargetMode="External" Id="rId4"/></Relationships>
</file>

<file path=xl/worksheets/sheet1.xml><?xml version="1.0" encoding="utf-8"?>
<worksheet xmlns="http://schemas.openxmlformats.org/spreadsheetml/2006/main">
  <sheetPr codeName="Sheet1">
    <tabColor rgb="00007F82"/>
    <outlinePr summaryBelow="1" summaryRight="1"/>
    <pageSetUpPr fitToPage="1"/>
  </sheetPr>
  <dimension ref="A1:K50"/>
  <sheetViews>
    <sheetView showGridLines="0" zoomScale="85" zoomScaleNormal="85" workbookViewId="0">
      <pane xSplit="2" ySplit="1" topLeftCell="C2" activePane="bottomRight" state="frozen"/>
      <selection pane="topRight"/>
      <selection pane="bottomLeft"/>
      <selection pane="bottomRight" activeCell="A2" sqref="A2"/>
    </sheetView>
  </sheetViews>
  <sheetFormatPr baseColWidth="8" defaultRowHeight="15"/>
  <cols>
    <col width="15" customWidth="1" min="1" max="1"/>
    <col width="31" customWidth="1" min="2" max="2"/>
    <col width="24" customWidth="1" style="43" min="3" max="3"/>
    <col width="16" customWidth="1" min="4" max="4"/>
    <col width="29" customWidth="1" min="5" max="5"/>
    <col width="15" customWidth="1" style="43" min="6" max="6"/>
    <col width="39" customWidth="1" style="51" min="7" max="7"/>
    <col width="13" customWidth="1" min="8" max="9"/>
    <col width="13" customWidth="1" min="9" max="9"/>
    <col width="16" customWidth="1" min="10" max="10"/>
    <col width="21" customWidth="1" min="11" max="11"/>
  </cols>
  <sheetData>
    <row r="1" ht="38" customHeight="1">
      <c r="A1" s="71" t="inlineStr">
        <is>
          <t>Klantorder</t>
        </is>
      </c>
      <c r="B1" s="71" t="inlineStr">
        <is>
          <t>Klantnaam</t>
        </is>
      </c>
      <c r="C1" s="71" t="inlineStr">
        <is>
          <t>Orderbehandelaar</t>
        </is>
      </c>
      <c r="D1" s="71" t="inlineStr">
        <is>
          <t>Bestelling</t>
        </is>
      </c>
      <c r="E1" s="71" t="inlineStr">
        <is>
          <t>Leverancier</t>
        </is>
      </c>
      <c r="F1" s="71" t="inlineStr">
        <is>
          <t>Levertijd</t>
        </is>
      </c>
      <c r="G1" s="71" t="inlineStr">
        <is>
          <t>Opmerking</t>
        </is>
      </c>
      <c r="H1" s="71" t="inlineStr">
        <is>
          <t>Binnen</t>
        </is>
      </c>
      <c r="I1" s="71" t="inlineStr">
        <is>
          <t>E-mail</t>
        </is>
      </c>
      <c r="J1" s="71" t="inlineStr">
        <is>
          <t>PO opvolgen</t>
        </is>
      </c>
      <c r="K1" t="inlineStr">
        <is>
          <t>Acties</t>
        </is>
      </c>
    </row>
    <row r="2" ht="36" customHeight="1">
      <c r="A2" s="72" t="n">
        <v>260217497</v>
      </c>
      <c r="B2" s="73" t="inlineStr">
        <is>
          <t>Stepan Netherlands B.V.</t>
        </is>
      </c>
      <c r="C2" s="72" t="inlineStr">
        <is>
          <t>van Wees, M.</t>
        </is>
      </c>
      <c r="D2" s="72" t="n">
        <v>262314018</v>
      </c>
      <c r="E2" s="73" t="inlineStr">
        <is>
          <t>Atlas Copco Airpower NV</t>
        </is>
      </c>
      <c r="F2" s="74" t="n">
        <v>46303</v>
      </c>
      <c r="G2" s="75" t="inlineStr">
        <is>
          <t>https://ac-p-ascintranet.azurewebsites.net/OrderCaseTracking/ReturnOrder?orderNr=62314018</t>
        </is>
      </c>
      <c r="H2" s="72" t="n"/>
      <c r="I2" s="72" t="n"/>
      <c r="J2" s="72" t="n"/>
    </row>
    <row r="3" ht="36" customHeight="1">
      <c r="A3" s="76" t="n">
        <v>260217218</v>
      </c>
      <c r="B3" s="77" t="inlineStr">
        <is>
          <t>Teijin Aramid B.V.</t>
        </is>
      </c>
      <c r="C3" s="76" t="inlineStr">
        <is>
          <t>Vrieling R.H.</t>
        </is>
      </c>
      <c r="D3" s="76" t="n">
        <v>262314243</v>
      </c>
      <c r="E3" s="77" t="inlineStr">
        <is>
          <t>Atlas Copco Airpower NV</t>
        </is>
      </c>
      <c r="F3" s="78" t="n">
        <v>46309</v>
      </c>
      <c r="G3" s="79" t="inlineStr">
        <is>
          <t>https://ac-p-ascintranet.azurewebsites.net/OrderCaseTracking/ReturnOrder?orderNr=62314243</t>
        </is>
      </c>
      <c r="H3" s="76" t="n"/>
      <c r="I3" s="76" t="n"/>
      <c r="J3" s="76" t="n"/>
    </row>
    <row r="4" ht="36" customHeight="1">
      <c r="A4" s="72" t="n">
        <v>260216059</v>
      </c>
      <c r="B4" s="73" t="inlineStr">
        <is>
          <t>Tenaz Energy Netherlands B.V.</t>
        </is>
      </c>
      <c r="C4" s="72" t="inlineStr">
        <is>
          <t>van Wees, M.</t>
        </is>
      </c>
      <c r="D4" s="72" t="n">
        <v>262313266</v>
      </c>
      <c r="E4" s="73" t="inlineStr">
        <is>
          <t>Edmac Europe NV</t>
        </is>
      </c>
      <c r="F4" s="74" t="n">
        <v>46310</v>
      </c>
      <c r="G4" s="75" t="inlineStr">
        <is>
          <t>https://ac-p-ascintranet.azurewebsites.net/OrderCaseTracking/ReturnOrder?orderNr=62313266</t>
        </is>
      </c>
      <c r="H4" s="72" t="n"/>
      <c r="I4" s="72" t="n"/>
      <c r="J4" s="72" t="n"/>
    </row>
    <row r="5" ht="36" customHeight="1">
      <c r="A5" s="76" t="n">
        <v>260217592</v>
      </c>
      <c r="B5" s="77" t="inlineStr">
        <is>
          <t>Eni Energy Netherlands B.V.</t>
        </is>
      </c>
      <c r="C5" s="76" t="inlineStr">
        <is>
          <t>van Wees, M.</t>
        </is>
      </c>
      <c r="D5" s="76" t="n">
        <v>262314083</v>
      </c>
      <c r="E5" s="77" t="inlineStr">
        <is>
          <t>Parker Hannifin B.V.</t>
        </is>
      </c>
      <c r="F5" s="78" t="n">
        <v>46311</v>
      </c>
      <c r="G5" s="77" t="n"/>
      <c r="H5" s="76" t="n"/>
      <c r="I5" s="76" t="n"/>
      <c r="J5" s="76" t="n"/>
    </row>
    <row r="6" ht="36" customHeight="1">
      <c r="A6" s="72" t="n">
        <v>260216404</v>
      </c>
      <c r="B6" s="73" t="inlineStr">
        <is>
          <t>Ministerie van Defensie FABK, Finan. Service Centrum</t>
        </is>
      </c>
      <c r="C6" s="72" t="inlineStr">
        <is>
          <t>van Wees, M.</t>
        </is>
      </c>
      <c r="D6" s="72" t="n">
        <v>262313452</v>
      </c>
      <c r="E6" s="73" t="inlineStr">
        <is>
          <t>Gardner Denver Ltd</t>
        </is>
      </c>
      <c r="F6" s="74" t="n">
        <v>46314</v>
      </c>
      <c r="G6" s="73" t="n"/>
      <c r="H6" s="72" t="n"/>
      <c r="I6" s="72" t="n"/>
      <c r="J6" s="72" t="n"/>
    </row>
    <row r="7" ht="36" customHeight="1">
      <c r="A7" s="76" t="n">
        <v>260217885</v>
      </c>
      <c r="B7" s="77" t="inlineStr">
        <is>
          <t>Ministerie van Defensie FABK, Finan. Service Centrum</t>
        </is>
      </c>
      <c r="C7" s="76" t="inlineStr">
        <is>
          <t>van Wees, M.</t>
        </is>
      </c>
      <c r="D7" s="76" t="n">
        <v>262314293</v>
      </c>
      <c r="E7" s="77" t="inlineStr">
        <is>
          <t>Geveke Parkerstore</t>
        </is>
      </c>
      <c r="F7" s="78" t="n">
        <v>46316</v>
      </c>
      <c r="G7" s="77" t="n"/>
      <c r="H7" s="76" t="n"/>
      <c r="I7" s="76" t="n"/>
      <c r="J7" s="76" t="n"/>
    </row>
    <row r="8" ht="36" customHeight="1">
      <c r="A8" s="72" t="n">
        <v>260216059</v>
      </c>
      <c r="B8" s="73" t="inlineStr">
        <is>
          <t>Tenaz Energy Netherlands B.V.</t>
        </is>
      </c>
      <c r="C8" s="72" t="inlineStr">
        <is>
          <t>van Wees, M.</t>
        </is>
      </c>
      <c r="D8" s="72" t="n">
        <v>262313280</v>
      </c>
      <c r="E8" s="73" t="inlineStr">
        <is>
          <t>Edmac Europe NV</t>
        </is>
      </c>
      <c r="F8" s="74" t="n">
        <v>46317</v>
      </c>
      <c r="G8" s="75" t="inlineStr">
        <is>
          <t>https://ac-p-ascintranet.azurewebsites.net/OrderCaseTracking/ReturnOrder?orderNr=62313280</t>
        </is>
      </c>
      <c r="H8" s="72" t="n"/>
      <c r="I8" s="72" t="n"/>
      <c r="J8" s="72" t="n"/>
    </row>
    <row r="9" ht="36" customHeight="1">
      <c r="A9" s="76" t="n">
        <v>260217865</v>
      </c>
      <c r="B9" s="77" t="inlineStr">
        <is>
          <t>B&amp;V Techniek B.V.</t>
        </is>
      </c>
      <c r="C9" s="76" t="inlineStr">
        <is>
          <t>Vrieling R.H.</t>
        </is>
      </c>
      <c r="D9" s="76" t="n">
        <v>262314288</v>
      </c>
      <c r="E9" s="77" t="inlineStr">
        <is>
          <t>Atlas Copco Airpower NV</t>
        </is>
      </c>
      <c r="F9" s="78" t="n">
        <v>46317</v>
      </c>
      <c r="G9" s="79" t="inlineStr">
        <is>
          <t>https://ac-p-ascintranet.azurewebsites.net/OrderCaseTracking/ReturnOrder?orderNr=62314288</t>
        </is>
      </c>
      <c r="H9" s="76" t="n"/>
      <c r="I9" s="76" t="n"/>
      <c r="J9" s="76" t="n"/>
    </row>
    <row r="10" ht="36" customHeight="1">
      <c r="A10" s="72" t="n">
        <v>260216059</v>
      </c>
      <c r="B10" s="73" t="inlineStr">
        <is>
          <t>Tenaz Energy Netherlands B.V.</t>
        </is>
      </c>
      <c r="C10" s="72" t="inlineStr">
        <is>
          <t>van Wees, M.</t>
        </is>
      </c>
      <c r="D10" s="72" t="n">
        <v>262313425</v>
      </c>
      <c r="E10" s="73" t="inlineStr">
        <is>
          <t>Gardner Denver Ltd</t>
        </is>
      </c>
      <c r="F10" s="74" t="n">
        <v>46321</v>
      </c>
      <c r="G10" s="73" t="n"/>
      <c r="H10" s="72" t="n"/>
      <c r="I10" s="72" t="n"/>
      <c r="J10" s="72" t="n"/>
    </row>
    <row r="11" ht="36" customHeight="1">
      <c r="A11" s="76" t="n">
        <v>260217515</v>
      </c>
      <c r="B11" s="77" t="inlineStr">
        <is>
          <t>Ministerie van Defensie FABK, Finan. Service Centrum</t>
        </is>
      </c>
      <c r="C11" s="76" t="inlineStr">
        <is>
          <t>van Wees, M.</t>
        </is>
      </c>
      <c r="D11" s="76" t="n">
        <v>262314040</v>
      </c>
      <c r="E11" s="77" t="inlineStr">
        <is>
          <t>Itsme BV</t>
        </is>
      </c>
      <c r="F11" s="78" t="n">
        <v>46321</v>
      </c>
      <c r="G11" s="77" t="n"/>
      <c r="H11" s="76" t="n"/>
      <c r="I11" s="76" t="n"/>
      <c r="J11" s="76" t="n"/>
    </row>
    <row r="12" ht="36" customHeight="1">
      <c r="A12" s="72" t="n">
        <v>260217805</v>
      </c>
      <c r="B12" s="73" t="inlineStr">
        <is>
          <t>Teunis Industrietechniek B.V.</t>
        </is>
      </c>
      <c r="C12" s="72" t="inlineStr">
        <is>
          <t>van Wees, M.</t>
        </is>
      </c>
      <c r="D12" s="72" t="n">
        <v>262314246</v>
      </c>
      <c r="E12" s="73" t="inlineStr">
        <is>
          <t>Edmac Europe NV</t>
        </is>
      </c>
      <c r="F12" s="74" t="n">
        <v>46321</v>
      </c>
      <c r="G12" s="75" t="inlineStr">
        <is>
          <t>https://ac-p-ascintranet.azurewebsites.net/OrderCaseTracking/ReturnOrder?orderNr=62314246</t>
        </is>
      </c>
      <c r="H12" s="72" t="n"/>
      <c r="I12" s="72" t="n"/>
      <c r="J12" s="72" t="n"/>
    </row>
    <row r="13" ht="36" customHeight="1">
      <c r="A13" s="76" t="n">
        <v>260217840</v>
      </c>
      <c r="B13" s="77" t="inlineStr">
        <is>
          <t>NAM B.V. T.a.v. Accounts Payable</t>
        </is>
      </c>
      <c r="C13" s="76" t="inlineStr">
        <is>
          <t>-Geen verkoopmedewerker/koper-</t>
        </is>
      </c>
      <c r="D13" s="76" t="n">
        <v>262314264</v>
      </c>
      <c r="E13" s="77" t="inlineStr">
        <is>
          <t>Atlas Copco Airpower NV</t>
        </is>
      </c>
      <c r="F13" s="78" t="n">
        <v>46321</v>
      </c>
      <c r="G13" s="79" t="inlineStr">
        <is>
          <t>https://ac-p-ascintranet.azurewebsites.net/OrderCaseTracking/ReturnOrder?orderNr=62314264</t>
        </is>
      </c>
      <c r="H13" s="76" t="n"/>
      <c r="I13" s="76" t="n"/>
      <c r="J13" s="76" t="n"/>
    </row>
    <row r="14" ht="36" customHeight="1">
      <c r="A14" s="72" t="n">
        <v>260217874</v>
      </c>
      <c r="B14" s="73" t="inlineStr">
        <is>
          <t>Anthony Veder Rederijzaken B.V.</t>
        </is>
      </c>
      <c r="C14" s="72" t="inlineStr">
        <is>
          <t>van Wees, M.</t>
        </is>
      </c>
      <c r="D14" s="72" t="n">
        <v>262314294</v>
      </c>
      <c r="E14" s="73" t="inlineStr">
        <is>
          <t>Beko Technologies B.V.</t>
        </is>
      </c>
      <c r="F14" s="74" t="n">
        <v>46321</v>
      </c>
      <c r="G14" s="73" t="n"/>
      <c r="H14" s="72" t="n"/>
      <c r="I14" s="72" t="n"/>
      <c r="J14" s="72" t="n"/>
    </row>
    <row r="15" ht="36" customHeight="1">
      <c r="A15" s="76" t="n">
        <v>260217805</v>
      </c>
      <c r="B15" s="77" t="inlineStr">
        <is>
          <t>Teunis Industrietechniek B.V.</t>
        </is>
      </c>
      <c r="C15" s="76" t="inlineStr">
        <is>
          <t>van Wees, M.</t>
        </is>
      </c>
      <c r="D15" s="76" t="n">
        <v>262314247</v>
      </c>
      <c r="E15" s="77" t="inlineStr">
        <is>
          <t>Atlas Copco Airpower NV</t>
        </is>
      </c>
      <c r="F15" s="78" t="n">
        <v>46322</v>
      </c>
      <c r="G15" s="79" t="inlineStr">
        <is>
          <t>https://ac-p-ascintranet.azurewebsites.net/OrderCaseTracking/ReturnOrder?orderNr=62314247</t>
        </is>
      </c>
      <c r="H15" s="76" t="n"/>
      <c r="I15" s="76" t="n"/>
      <c r="J15" s="76" t="n"/>
    </row>
    <row r="16" ht="36" customHeight="1">
      <c r="A16" s="72" t="n">
        <v>260216457</v>
      </c>
      <c r="B16" s="73" t="inlineStr">
        <is>
          <t>Lamb-Weston</t>
        </is>
      </c>
      <c r="C16" s="72" t="inlineStr">
        <is>
          <t>Stuiver R.</t>
        </is>
      </c>
      <c r="D16" s="72" t="n">
        <v>262313686</v>
      </c>
      <c r="E16" s="73" t="inlineStr">
        <is>
          <t>Atlas Copco Airpower NV</t>
        </is>
      </c>
      <c r="F16" s="74" t="n">
        <v>46324</v>
      </c>
      <c r="G16" s="75" t="inlineStr">
        <is>
          <t>https://ac-p-ascintranet.azurewebsites.net/OrderCaseTracking/ReturnOrder?orderNr=62313686</t>
        </is>
      </c>
      <c r="H16" s="72" t="n"/>
      <c r="I16" s="72" t="n"/>
      <c r="J16" s="72" t="n"/>
    </row>
    <row r="17" ht="36" customHeight="1">
      <c r="A17" s="76" t="n">
        <v>260216589</v>
      </c>
      <c r="B17" s="77" t="inlineStr">
        <is>
          <t>Corlido Project Supply BV</t>
        </is>
      </c>
      <c r="C17" s="76" t="inlineStr">
        <is>
          <t>van Wees, M.</t>
        </is>
      </c>
      <c r="D17" s="76" t="n">
        <v>262313555</v>
      </c>
      <c r="E17" s="77" t="inlineStr">
        <is>
          <t>Atlas Copco Airpower NV</t>
        </is>
      </c>
      <c r="F17" s="78" t="n">
        <v>46325</v>
      </c>
      <c r="G17" s="79" t="inlineStr">
        <is>
          <t>https://ac-p-ascintranet.azurewebsites.net/OrderCaseTracking/ReturnOrder?orderNr=62313555</t>
        </is>
      </c>
      <c r="H17" s="76" t="n"/>
      <c r="I17" s="76" t="n"/>
      <c r="J17" s="76" t="n"/>
    </row>
    <row r="18" ht="36" customHeight="1">
      <c r="A18" s="72" t="n">
        <v>260217414</v>
      </c>
      <c r="B18" s="73" t="inlineStr">
        <is>
          <t>Tenaz Energy Netherlands B.V.</t>
        </is>
      </c>
      <c r="C18" s="72" t="inlineStr">
        <is>
          <t>van Wees, M.</t>
        </is>
      </c>
      <c r="D18" s="72" t="n">
        <v>262313971</v>
      </c>
      <c r="E18" s="73" t="inlineStr">
        <is>
          <t>Gardner Denver Ltd</t>
        </is>
      </c>
      <c r="F18" s="74" t="n">
        <v>46325</v>
      </c>
      <c r="G18" s="73" t="n"/>
      <c r="H18" s="72" t="n"/>
      <c r="I18" s="72" t="n"/>
      <c r="J18" s="72" t="n"/>
    </row>
    <row r="19" ht="36" customHeight="1">
      <c r="A19" s="76" t="n">
        <v>260217796</v>
      </c>
      <c r="B19" s="77" t="inlineStr">
        <is>
          <t>Busch B.V.</t>
        </is>
      </c>
      <c r="C19" s="76" t="inlineStr">
        <is>
          <t>van Wees, M.</t>
        </is>
      </c>
      <c r="D19" s="76" t="n">
        <v>262314233</v>
      </c>
      <c r="E19" s="77" t="inlineStr">
        <is>
          <t>Parker Hannifin B.V.</t>
        </is>
      </c>
      <c r="F19" s="78" t="n">
        <v>46325</v>
      </c>
      <c r="G19" s="77" t="n"/>
      <c r="H19" s="76" t="n"/>
      <c r="I19" s="76" t="n"/>
      <c r="J19" s="76" t="n"/>
    </row>
    <row r="20" ht="36" customHeight="1">
      <c r="A20" s="72" t="n">
        <v>260217653</v>
      </c>
      <c r="B20" s="73" t="inlineStr">
        <is>
          <t>Superyacht Spares B.V.</t>
        </is>
      </c>
      <c r="C20" s="72" t="inlineStr">
        <is>
          <t>van Wees, M.</t>
        </is>
      </c>
      <c r="D20" s="72" t="n">
        <v>262314141</v>
      </c>
      <c r="E20" s="73" t="inlineStr">
        <is>
          <t>Edmac Europe NV</t>
        </is>
      </c>
      <c r="F20" s="74" t="n">
        <v>46330</v>
      </c>
      <c r="G20" s="75" t="inlineStr">
        <is>
          <t>https://ac-p-ascintranet.azurewebsites.net/OrderCaseTracking/ReturnOrder?orderNr=62314141</t>
        </is>
      </c>
      <c r="H20" s="72" t="n"/>
      <c r="I20" s="72" t="n"/>
      <c r="J20" s="72" t="n"/>
    </row>
    <row r="21" ht="36" customHeight="1">
      <c r="A21" s="76" t="n">
        <v>260217188</v>
      </c>
      <c r="B21" s="77" t="inlineStr">
        <is>
          <t>Tata Steel IJmuiden B.V.</t>
        </is>
      </c>
      <c r="C21" s="76" t="inlineStr">
        <is>
          <t>Hudepohl W.</t>
        </is>
      </c>
      <c r="D21" s="76" t="n">
        <v>262313944</v>
      </c>
      <c r="E21" s="77" t="inlineStr">
        <is>
          <t>Edmac Europe NV</t>
        </is>
      </c>
      <c r="F21" s="78" t="n">
        <v>46331</v>
      </c>
      <c r="G21" s="79" t="inlineStr">
        <is>
          <t>https://ac-p-ascintranet.azurewebsites.net/OrderCaseTracking/ReturnOrder?orderNr=62313944</t>
        </is>
      </c>
      <c r="H21" s="76" t="n"/>
      <c r="I21" s="76" t="n"/>
      <c r="J21" s="76" t="n"/>
    </row>
    <row r="22" ht="36" customHeight="1">
      <c r="A22" s="72" t="n">
        <v>260217584</v>
      </c>
      <c r="B22" s="73" t="n"/>
      <c r="C22" s="72" t="n"/>
      <c r="D22" s="72" t="n">
        <v>262314145</v>
      </c>
      <c r="E22" s="73" t="inlineStr">
        <is>
          <t>M-Filter BV</t>
        </is>
      </c>
      <c r="F22" s="74" t="n">
        <v>46331</v>
      </c>
      <c r="G22" s="73" t="n"/>
      <c r="H22" s="72" t="n"/>
      <c r="I22" s="72" t="n"/>
      <c r="J22" s="72" t="n"/>
    </row>
    <row r="23" ht="36" customHeight="1">
      <c r="A23" s="76" t="n">
        <v>260216240</v>
      </c>
      <c r="B23" s="77" t="inlineStr">
        <is>
          <t>Eni Energy Netherlands B.V.</t>
        </is>
      </c>
      <c r="C23" s="76" t="inlineStr">
        <is>
          <t>van Wees, M.</t>
        </is>
      </c>
      <c r="D23" s="76" t="n">
        <v>262313395</v>
      </c>
      <c r="E23" s="77" t="inlineStr">
        <is>
          <t>Edmac Europe NV</t>
        </is>
      </c>
      <c r="F23" s="78" t="n">
        <v>46346</v>
      </c>
      <c r="G23" s="79" t="inlineStr">
        <is>
          <t>https://ac-p-ascintranet.azurewebsites.net/OrderCaseTracking/ReturnOrder?orderNr=62313395</t>
        </is>
      </c>
      <c r="H23" s="76" t="n"/>
      <c r="I23" s="76" t="n"/>
      <c r="J23" s="76" t="n"/>
    </row>
    <row r="24" ht="36" customHeight="1">
      <c r="A24" s="72" t="n">
        <v>260217286</v>
      </c>
      <c r="B24" s="73" t="inlineStr">
        <is>
          <t>Pequip Mar</t>
        </is>
      </c>
      <c r="C24" s="72" t="inlineStr">
        <is>
          <t>van Wees, M.</t>
        </is>
      </c>
      <c r="D24" s="72" t="n">
        <v>262313930</v>
      </c>
      <c r="E24" s="73" t="inlineStr">
        <is>
          <t>Edmac Europe NV</t>
        </is>
      </c>
      <c r="F24" s="74" t="n">
        <v>46358</v>
      </c>
      <c r="G24" s="75" t="inlineStr">
        <is>
          <t>https://ac-p-ascintranet.azurewebsites.net/OrderCaseTracking/ReturnOrder?orderNr=62313930</t>
        </is>
      </c>
      <c r="H24" s="72" t="n"/>
      <c r="I24" s="72" t="n"/>
      <c r="J24" s="72" t="n"/>
    </row>
    <row r="25" ht="36" customHeight="1">
      <c r="A25" s="76" t="n">
        <v>260217346</v>
      </c>
      <c r="B25" s="77" t="inlineStr">
        <is>
          <t>Nobian Industrial Chemicals B.V.</t>
        </is>
      </c>
      <c r="C25" s="76" t="inlineStr">
        <is>
          <t>Vrieling R.H.</t>
        </is>
      </c>
      <c r="D25" s="76" t="n">
        <v>262313947</v>
      </c>
      <c r="E25" s="77" t="inlineStr">
        <is>
          <t>Edmac Europe NV</t>
        </is>
      </c>
      <c r="F25" s="78" t="n">
        <v>46392</v>
      </c>
      <c r="G25" s="79" t="inlineStr">
        <is>
          <t>https://ac-p-ascintranet.azurewebsites.net/OrderCaseTracking/ReturnOrder?orderNr=62313947</t>
        </is>
      </c>
      <c r="H25" s="76" t="n"/>
      <c r="I25" s="76" t="n"/>
      <c r="J25" s="76" t="n"/>
    </row>
    <row r="26" ht="21" customHeight="1">
      <c r="A26" s="26" t="n"/>
      <c r="B26" s="3" t="n"/>
      <c r="C26" s="50" t="n"/>
      <c r="D26" s="26" t="n"/>
      <c r="E26" s="3" t="n"/>
      <c r="F26" s="42" t="n"/>
      <c r="G26" s="37" t="n"/>
      <c r="H26" s="3" t="n"/>
      <c r="I26" s="3" t="n"/>
      <c r="J26" s="3" t="n"/>
    </row>
    <row r="27" ht="21" customHeight="1">
      <c r="A27" s="25" t="n"/>
      <c r="B27" s="24" t="n"/>
      <c r="C27" s="49" t="n"/>
      <c r="D27" s="25" t="n"/>
      <c r="E27" s="24" t="n"/>
      <c r="F27" s="41" t="n"/>
      <c r="G27" s="36" t="n"/>
      <c r="H27" s="24" t="n"/>
      <c r="I27" s="24" t="n"/>
      <c r="J27" s="24" t="n"/>
    </row>
    <row r="28" ht="21" customHeight="1">
      <c r="A28" s="26" t="n"/>
      <c r="B28" s="3" t="n"/>
      <c r="C28" s="50" t="n"/>
      <c r="D28" s="26" t="n"/>
      <c r="E28" s="3" t="n"/>
      <c r="F28" s="42" t="n"/>
      <c r="G28" s="37" t="n"/>
      <c r="H28" s="3" t="n"/>
      <c r="I28" s="3" t="n"/>
      <c r="J28" s="3" t="n"/>
    </row>
    <row r="29" ht="21" customHeight="1">
      <c r="A29" s="25" t="n"/>
      <c r="B29" s="24" t="n"/>
      <c r="C29" s="49" t="n"/>
      <c r="D29" s="25" t="n"/>
      <c r="E29" s="24" t="n"/>
      <c r="F29" s="41" t="n"/>
      <c r="G29" s="36" t="n"/>
      <c r="H29" s="24" t="n"/>
      <c r="I29" s="24" t="n"/>
      <c r="J29" s="24" t="n"/>
    </row>
    <row r="30" ht="21" customHeight="1">
      <c r="A30" s="26" t="n"/>
      <c r="B30" s="3" t="n"/>
      <c r="C30" s="50" t="n"/>
      <c r="D30" s="26" t="n"/>
      <c r="E30" s="3" t="n"/>
      <c r="F30" s="42" t="n"/>
      <c r="G30" s="37" t="n"/>
      <c r="H30" s="3" t="n"/>
      <c r="I30" s="3" t="n"/>
      <c r="J30" s="3" t="n"/>
    </row>
    <row r="31" ht="21" customHeight="1">
      <c r="A31" s="25" t="n"/>
      <c r="B31" s="24" t="n"/>
      <c r="C31" s="49" t="n"/>
      <c r="D31" s="25" t="n"/>
      <c r="E31" s="24" t="n"/>
      <c r="F31" s="41" t="n"/>
      <c r="G31" s="36" t="n"/>
      <c r="H31" s="24" t="n"/>
      <c r="I31" s="24" t="n"/>
      <c r="J31" s="24" t="n"/>
    </row>
    <row r="32" ht="21" customHeight="1">
      <c r="A32" s="26" t="n"/>
      <c r="B32" s="3" t="n"/>
      <c r="C32" s="50" t="n"/>
      <c r="D32" s="26" t="n"/>
      <c r="E32" s="3" t="n"/>
      <c r="F32" s="42" t="n"/>
      <c r="G32" s="37" t="n"/>
      <c r="H32" s="3" t="n"/>
      <c r="I32" s="3" t="n"/>
      <c r="J32" s="3" t="n"/>
    </row>
    <row r="33" ht="21" customHeight="1">
      <c r="A33" s="25" t="n"/>
      <c r="B33" s="24" t="n"/>
      <c r="C33" s="49" t="n"/>
      <c r="D33" s="25" t="n"/>
      <c r="E33" s="24" t="n"/>
      <c r="F33" s="41" t="n"/>
      <c r="G33" s="36" t="n"/>
      <c r="H33" s="24" t="n"/>
      <c r="I33" s="24" t="n"/>
      <c r="J33" s="24" t="n"/>
    </row>
    <row r="34" ht="21" customHeight="1">
      <c r="A34" s="26" t="n"/>
      <c r="B34" s="3" t="n"/>
      <c r="C34" s="50" t="n"/>
      <c r="D34" s="26" t="n"/>
      <c r="E34" s="3" t="n"/>
      <c r="F34" s="42" t="n"/>
      <c r="G34" s="37" t="n"/>
      <c r="H34" s="3" t="n"/>
      <c r="I34" s="3" t="n"/>
      <c r="J34" s="3" t="n"/>
    </row>
    <row r="35" ht="21" customHeight="1">
      <c r="A35" s="25" t="n"/>
      <c r="B35" s="24" t="n"/>
      <c r="C35" s="49" t="n"/>
      <c r="D35" s="25" t="n"/>
      <c r="E35" s="24" t="n"/>
      <c r="F35" s="41" t="n"/>
      <c r="G35" s="36" t="n"/>
      <c r="H35" s="24" t="n"/>
      <c r="I35" s="24" t="n"/>
      <c r="J35" s="24" t="n"/>
    </row>
    <row r="36" ht="21" customHeight="1">
      <c r="A36" s="26" t="n"/>
      <c r="B36" s="3" t="n"/>
      <c r="C36" s="50" t="n"/>
      <c r="D36" s="26" t="n"/>
      <c r="E36" s="3" t="n"/>
      <c r="F36" s="42" t="n"/>
      <c r="G36" s="37" t="n"/>
      <c r="H36" s="3" t="n"/>
      <c r="I36" s="3" t="n"/>
      <c r="J36" s="3" t="n"/>
    </row>
    <row r="37" ht="21" customHeight="1">
      <c r="A37" s="25" t="n"/>
      <c r="B37" s="24" t="n"/>
      <c r="C37" s="49" t="n"/>
      <c r="D37" s="25" t="n"/>
      <c r="E37" s="24" t="n"/>
      <c r="F37" s="41" t="n"/>
      <c r="G37" s="36" t="n"/>
      <c r="H37" s="24" t="n"/>
      <c r="I37" s="24" t="n"/>
      <c r="J37" s="24" t="n"/>
    </row>
    <row r="38" ht="21" customHeight="1">
      <c r="A38" s="26" t="n"/>
      <c r="B38" s="3" t="n"/>
      <c r="C38" s="50" t="n"/>
      <c r="D38" s="26" t="n"/>
      <c r="E38" s="3" t="n"/>
      <c r="F38" s="42" t="n"/>
      <c r="G38" s="37" t="n"/>
      <c r="H38" s="3" t="n"/>
      <c r="I38" s="3" t="n"/>
      <c r="J38" s="3" t="n"/>
    </row>
    <row r="39" ht="21" customHeight="1">
      <c r="A39" s="25" t="n"/>
      <c r="B39" s="24" t="n"/>
      <c r="C39" s="49" t="n"/>
      <c r="D39" s="25" t="n"/>
      <c r="E39" s="24" t="n"/>
      <c r="F39" s="41" t="n"/>
      <c r="G39" s="36" t="n"/>
      <c r="H39" s="24" t="n"/>
      <c r="I39" s="24" t="n"/>
      <c r="J39" s="24" t="n"/>
    </row>
    <row r="40" ht="21" customHeight="1">
      <c r="A40" s="26" t="n"/>
      <c r="B40" s="3" t="n"/>
      <c r="C40" s="50" t="n"/>
      <c r="D40" s="26" t="n"/>
      <c r="E40" s="3" t="n"/>
      <c r="F40" s="42" t="n"/>
      <c r="G40" s="37" t="n"/>
      <c r="H40" s="3" t="n"/>
      <c r="I40" s="3" t="n"/>
      <c r="J40" s="3" t="n"/>
    </row>
    <row r="41" ht="21" customHeight="1">
      <c r="A41" s="25" t="n"/>
      <c r="B41" s="24" t="n"/>
      <c r="C41" s="49" t="n"/>
      <c r="D41" s="25" t="n"/>
      <c r="E41" s="24" t="n"/>
      <c r="F41" s="41" t="n"/>
      <c r="G41" s="36" t="n"/>
      <c r="H41" s="24" t="n"/>
      <c r="I41" s="24" t="n"/>
      <c r="J41" s="24" t="n"/>
    </row>
    <row r="42" ht="21" customHeight="1">
      <c r="A42" s="26" t="n"/>
      <c r="B42" s="3" t="n"/>
      <c r="C42" s="50" t="n"/>
      <c r="D42" s="26" t="n"/>
      <c r="E42" s="3" t="n"/>
      <c r="F42" s="42" t="n"/>
      <c r="G42" s="37" t="n"/>
      <c r="H42" s="3" t="n"/>
      <c r="I42" s="3" t="n"/>
      <c r="J42" s="3" t="n"/>
    </row>
    <row r="43" ht="21" customHeight="1">
      <c r="A43" s="25" t="n"/>
      <c r="B43" s="24" t="n"/>
      <c r="C43" s="49" t="n"/>
      <c r="D43" s="25" t="n"/>
      <c r="E43" s="24" t="n"/>
      <c r="F43" s="41" t="n"/>
      <c r="G43" s="36" t="n"/>
      <c r="H43" s="24" t="n"/>
      <c r="I43" s="24" t="n"/>
      <c r="J43" s="24" t="n"/>
    </row>
    <row r="44" ht="21" customHeight="1">
      <c r="A44" s="26" t="n"/>
      <c r="B44" s="3" t="n"/>
      <c r="C44" s="50" t="n"/>
      <c r="D44" s="26" t="n"/>
      <c r="E44" s="3" t="n"/>
      <c r="F44" s="42" t="n"/>
      <c r="G44" s="37" t="n"/>
      <c r="H44" s="3" t="n"/>
      <c r="I44" s="3" t="n"/>
      <c r="J44" s="3" t="n"/>
    </row>
    <row r="45" ht="21" customHeight="1">
      <c r="A45" s="25" t="n"/>
      <c r="B45" s="24" t="n"/>
      <c r="C45" s="49" t="n"/>
      <c r="D45" s="25" t="n"/>
      <c r="E45" s="24" t="n"/>
      <c r="F45" s="41" t="n"/>
      <c r="G45" s="36" t="n"/>
      <c r="H45" s="24" t="n"/>
      <c r="I45" s="24" t="n"/>
      <c r="J45" s="24" t="n"/>
    </row>
    <row r="46" ht="21" customHeight="1">
      <c r="A46" s="26" t="n"/>
      <c r="B46" s="3" t="n"/>
      <c r="C46" s="50" t="n"/>
      <c r="D46" s="26" t="n"/>
      <c r="E46" s="3" t="n"/>
      <c r="F46" s="42" t="n"/>
      <c r="G46" s="37" t="n"/>
      <c r="H46" s="3" t="n"/>
      <c r="I46" s="3" t="n"/>
      <c r="J46" s="3" t="n"/>
    </row>
    <row r="47" ht="21" customHeight="1">
      <c r="A47" s="25" t="n"/>
      <c r="B47" s="24" t="n"/>
      <c r="C47" s="49" t="n"/>
      <c r="D47" s="25" t="n"/>
      <c r="E47" s="24" t="n"/>
      <c r="F47" s="41" t="n"/>
      <c r="G47" s="36" t="n"/>
      <c r="H47" s="24" t="n"/>
      <c r="I47" s="24" t="n"/>
      <c r="J47" s="24" t="n"/>
    </row>
    <row r="48" ht="21" customHeight="1">
      <c r="A48" s="26" t="n"/>
      <c r="B48" s="3" t="n"/>
      <c r="C48" s="50" t="n"/>
      <c r="D48" s="26" t="n"/>
      <c r="E48" s="3" t="n"/>
      <c r="F48" s="42" t="n"/>
      <c r="G48" s="37" t="n"/>
      <c r="H48" s="3" t="n"/>
      <c r="I48" s="3" t="n"/>
      <c r="J48" s="3" t="n"/>
    </row>
    <row r="49" ht="21" customHeight="1">
      <c r="A49" s="25" t="n"/>
      <c r="B49" s="24" t="n"/>
      <c r="C49" s="49" t="n"/>
      <c r="D49" s="25" t="n"/>
      <c r="E49" s="24" t="n"/>
      <c r="F49" s="41" t="n"/>
      <c r="G49" s="36" t="n"/>
      <c r="H49" s="24" t="n"/>
      <c r="I49" s="24" t="n"/>
      <c r="J49" s="24" t="n"/>
    </row>
    <row r="50" ht="21" customHeight="1">
      <c r="A50" s="26" t="n"/>
      <c r="B50" s="3" t="n"/>
      <c r="C50" s="50" t="n"/>
      <c r="D50" s="26" t="n"/>
      <c r="E50" s="3" t="n"/>
      <c r="F50" s="42" t="n"/>
      <c r="G50" s="37" t="n"/>
      <c r="H50" s="3" t="n"/>
      <c r="I50" s="3" t="n"/>
      <c r="J50" s="3" t="n"/>
    </row>
  </sheetData>
  <autoFilter ref="A1:J25"/>
  <conditionalFormatting sqref="F2:F10000">
    <cfRule type="expression" priority="1" dxfId="3" stopIfTrue="1">
      <formula>AND(ISNUMBER($F2),$D2&lt;&gt;"",$F2&lt;TODAY())</formula>
    </cfRule>
    <cfRule type="expression" priority="2" dxfId="4" stopIfTrue="1">
      <formula>AND(ISNUMBER($F2),$D2&lt;&gt;"",$F2&gt;=TODAY(),$F2&lt;=TODAY()+3)</formula>
    </cfRule>
    <cfRule type="expression" priority="3" dxfId="5" stopIfTrue="1">
      <formula>AND(ISNUMBER($F2),$D2&lt;&gt;"",$F2&gt;TODAY()+3,$F2&lt;=TODAY()+7)</formula>
    </cfRule>
  </conditionalFormatting>
  <hyperlinks xmlns:r="http://schemas.openxmlformats.org/officeDocument/2006/relationships" xmlns:xr="http://schemas.microsoft.com/office/spreadsheetml/2014/revision">
    <hyperlink ref="G4" r:id="rId1" xr:uid="{91634ACA-D7C7-42BB-9A5B-B84589EDC47B}"/>
    <hyperlink ref="G8" r:id="rId2" xr:uid="{B5F5B6B5-599B-4B03-BD0F-94E31DA56925}"/>
    <hyperlink ref="G23" r:id="rId3" xr:uid="{2D7A5A00-455F-40E7-BF53-42EB106C08F7}"/>
    <hyperlink ref="G17" r:id="rId4" xr:uid="{A6CB1A11-6160-41A2-A111-27BDD91A2F26}"/>
    <hyperlink ref="G16" r:id="rId5" xr:uid="{704AE12A-27C0-4C28-8B6D-AABD2B4A8180}"/>
    <hyperlink ref="G24" r:id="rId6" xr:uid="{ED9347C2-44AA-4233-AFD6-751F0C0C1852}"/>
    <hyperlink ref="G21" r:id="rId7" xr:uid="{C42E082A-9D08-4C26-B02F-A9532B048803}"/>
    <hyperlink ref="G25" r:id="rId8" xr:uid="{72533A36-0B8D-4B56-8F2F-E7AB75552985}"/>
    <hyperlink ref="G2" r:id="rId9" xr:uid="{78B4BE99-4E7A-4C99-86BA-B359E5E518D9}"/>
    <hyperlink ref="G20" r:id="rId10" xr:uid="{3E79C71A-DF9E-425A-AF04-8DB08438A784}"/>
    <hyperlink ref="G3" r:id="rId11" xr:uid="{4448D16C-3989-4E1C-8F85-4A90D15B95FE}"/>
    <hyperlink ref="G12" r:id="rId12" xr:uid="{B180662A-6AC9-40DA-ACEB-5F7AE0633CCC}"/>
    <hyperlink ref="G15" r:id="rId13" xr:uid="{30FD6D4C-EBAB-4B7F-8669-6253F869057F}"/>
    <hyperlink ref="G13" r:id="rId14" xr:uid="{49EFAAD3-DF08-498B-8676-334073531180}"/>
    <hyperlink ref="G9" r:id="rId15" xr:uid="{85302F5F-19ED-4ED6-BE88-59BDC67EA39F}"/>
  </hyperlinks>
  <printOptions horizontalCentered="1"/>
  <pageMargins left="0.7" right="0.7" top="0.75" bottom="0.75" header="0.3" footer="0.3"/>
  <pageSetup xmlns:r="http://schemas.openxmlformats.org/officeDocument/2006/relationships" scale="31" orientation="portrait" verticalDpi="0" r:id="rId16"/>
  <headerFooter>
    <oddHeader/>
    <oddFooter>&amp;CMVW | Leveringen&amp;RPagina &amp;P van &amp;N</oddFooter>
    <evenHeader/>
    <evenFooter/>
    <firstHeader/>
    <firstFooter/>
  </headerFooter>
  <colBreaks count="1" manualBreakCount="1">
    <brk id="2" min="0" max="49" man="1"/>
  </colBreaks>
  <drawing xmlns:r="http://schemas.openxmlformats.org/officeDocument/2006/relationships" r:id="rId17"/>
</worksheet>
</file>

<file path=xl/worksheets/sheet2.xml><?xml version="1.0" encoding="utf-8"?>
<worksheet xmlns="http://schemas.openxmlformats.org/spreadsheetml/2006/main">
  <sheetPr codeName="Sheet3">
    <tabColor rgb="00142D4E"/>
    <outlinePr summaryBelow="1" summaryRight="1"/>
    <pageSetUpPr fitToPage="1"/>
  </sheetPr>
  <dimension ref="A1:Q117"/>
  <sheetViews>
    <sheetView showGridLines="0" zoomScale="85" zoomScaleNormal="90" workbookViewId="0">
      <pane xSplit="2" ySplit="1" topLeftCell="C2" activePane="bottomRight" state="frozen"/>
      <selection pane="topRight"/>
      <selection pane="bottomLeft"/>
      <selection pane="bottomRight" activeCell="A2" sqref="A2"/>
    </sheetView>
  </sheetViews>
  <sheetFormatPr baseColWidth="8" defaultRowHeight="15"/>
  <cols>
    <col width="7" customWidth="1" style="63" min="1" max="1"/>
    <col width="16" customWidth="1" style="63" min="2" max="2"/>
    <col width="15" customWidth="1" style="63" min="3" max="3"/>
    <col width="20" customWidth="1" min="4" max="4"/>
    <col width="30" customWidth="1" min="5" max="5"/>
    <col width="15" customWidth="1" min="6" max="6"/>
    <col width="43" customWidth="1" min="7" max="7"/>
    <col width="18" customWidth="1" min="8" max="8"/>
    <col width="31" customWidth="1" min="9" max="9"/>
    <col width="24" customWidth="1" style="63" min="10" max="10"/>
    <col width="19" customWidth="1" style="63" min="11" max="11"/>
    <col width="24" customWidth="1" style="63" min="12" max="12"/>
    <col width="21" bestFit="1" customWidth="1" style="63" min="13" max="13"/>
    <col width="10" customWidth="1" min="14" max="14"/>
    <col width="14" customWidth="1" min="15" max="15"/>
    <col width="14" customWidth="1" min="16" max="16"/>
    <col width="14" customWidth="1" min="17" max="17"/>
  </cols>
  <sheetData>
    <row r="1" ht="38" customHeight="1">
      <c r="A1" s="71" t="inlineStr">
        <is>
          <t>#</t>
        </is>
      </c>
      <c r="B1" s="71" t="inlineStr">
        <is>
          <t>Bestelnummer</t>
        </is>
      </c>
      <c r="C1" s="71" t="inlineStr">
        <is>
          <t>Datum</t>
        </is>
      </c>
      <c r="D1" s="71" t="inlineStr">
        <is>
          <t>Leveranciersnummer</t>
        </is>
      </c>
      <c r="E1" s="71" t="inlineStr">
        <is>
          <t>Leverancier</t>
        </is>
      </c>
      <c r="F1" s="71" t="inlineStr">
        <is>
          <t>Vervaldatum</t>
        </is>
      </c>
      <c r="G1" s="71" t="inlineStr">
        <is>
          <t>Opmerkingen</t>
        </is>
      </c>
      <c r="H1" s="71" t="inlineStr">
        <is>
          <t>Totaalbedrag</t>
        </is>
      </c>
      <c r="I1" s="71" t="inlineStr">
        <is>
          <t>Klantnaam</t>
        </is>
      </c>
      <c r="J1" s="71" t="inlineStr">
        <is>
          <t>Verkoopmedewerker</t>
        </is>
      </c>
      <c r="K1" s="71" t="inlineStr">
        <is>
          <t>Documentstatus</t>
        </is>
      </c>
      <c r="L1" s="71" t="inlineStr">
        <is>
          <t>Inkoopmedewerker</t>
        </is>
      </c>
      <c r="M1" s="71" t="inlineStr">
        <is>
          <t>EDI Send</t>
        </is>
      </c>
      <c r="N1" s="71" t="n"/>
    </row>
    <row r="2" ht="36" customHeight="1">
      <c r="A2" s="72" t="n">
        <v>1</v>
      </c>
      <c r="B2" s="73" t="n">
        <v>262314294</v>
      </c>
      <c r="C2" s="74" t="n">
        <v>46316</v>
      </c>
      <c r="D2" s="72" t="n">
        <v>80000074</v>
      </c>
      <c r="E2" s="73" t="inlineStr">
        <is>
          <t>Beko Technologies B.V.</t>
        </is>
      </c>
      <c r="F2" s="74" t="n">
        <v>46321</v>
      </c>
      <c r="G2" s="73" t="inlineStr">
        <is>
          <t>Gebaseerd op Klantorders 260217874.</t>
        </is>
      </c>
      <c r="H2" s="80" t="n">
        <v>672.4299999999999</v>
      </c>
      <c r="I2" s="72" t="inlineStr">
        <is>
          <t>Anthony Veder Rederijzaken B.V.</t>
        </is>
      </c>
      <c r="J2" s="72" t="inlineStr">
        <is>
          <t>van Wees, M.</t>
        </is>
      </c>
      <c r="K2" s="72" t="inlineStr">
        <is>
          <t>Open</t>
        </is>
      </c>
      <c r="L2" s="72" t="inlineStr">
        <is>
          <t>van Wees, M.</t>
        </is>
      </c>
      <c r="M2" s="81" t="n"/>
      <c r="N2" s="72" t="inlineStr">
        <is>
          <t>Y</t>
        </is>
      </c>
    </row>
    <row r="3" ht="36" customHeight="1">
      <c r="A3" s="76" t="n">
        <v>2</v>
      </c>
      <c r="B3" s="77" t="n">
        <v>262314293</v>
      </c>
      <c r="C3" s="78" t="n">
        <v>46316</v>
      </c>
      <c r="D3" s="76" t="n">
        <v>85000985</v>
      </c>
      <c r="E3" s="77" t="inlineStr">
        <is>
          <t>Geveke Parkerstore</t>
        </is>
      </c>
      <c r="F3" s="78" t="n">
        <v>46316</v>
      </c>
      <c r="G3" s="77" t="inlineStr">
        <is>
          <t>Gebaseerd op Klantorders 260217885.</t>
        </is>
      </c>
      <c r="H3" s="82" t="n">
        <v>0</v>
      </c>
      <c r="I3" s="76" t="inlineStr">
        <is>
          <t>Ministerie van Defensie FABK, Finan. Service Centrum</t>
        </is>
      </c>
      <c r="J3" s="76" t="inlineStr">
        <is>
          <t>van Wees, M.</t>
        </is>
      </c>
      <c r="K3" s="76" t="inlineStr">
        <is>
          <t>Open</t>
        </is>
      </c>
      <c r="L3" s="76" t="inlineStr">
        <is>
          <t>van Wees, M.</t>
        </is>
      </c>
      <c r="M3" s="83" t="n"/>
      <c r="N3" s="76" t="inlineStr">
        <is>
          <t>Y</t>
        </is>
      </c>
      <c r="P3" s="1" t="n"/>
    </row>
    <row r="4" ht="36" customHeight="1">
      <c r="A4" s="72" t="n">
        <v>3</v>
      </c>
      <c r="B4" s="73" t="n">
        <v>262314288</v>
      </c>
      <c r="C4" s="74" t="n">
        <v>46315</v>
      </c>
      <c r="D4" s="72" t="n">
        <v>85100515</v>
      </c>
      <c r="E4" s="73" t="inlineStr">
        <is>
          <t>Atlas Copco Airpower NV</t>
        </is>
      </c>
      <c r="F4" s="74" t="n">
        <v>46317</v>
      </c>
      <c r="G4" s="73" t="inlineStr">
        <is>
          <t>Gebaseerd op Klantorders 260217865.</t>
        </is>
      </c>
      <c r="H4" s="80" t="n">
        <v>590.09</v>
      </c>
      <c r="I4" s="72" t="inlineStr">
        <is>
          <t>B&amp;V Techniek B.V.</t>
        </is>
      </c>
      <c r="J4" s="72" t="inlineStr">
        <is>
          <t>Vrieling R.H.</t>
        </is>
      </c>
      <c r="K4" s="72" t="inlineStr">
        <is>
          <t>Open</t>
        </is>
      </c>
      <c r="L4" s="72" t="inlineStr">
        <is>
          <t>van Wees, M.</t>
        </is>
      </c>
      <c r="M4" s="81" t="n">
        <v>46315.68402777778</v>
      </c>
      <c r="N4" s="72" t="inlineStr">
        <is>
          <t>Y</t>
        </is>
      </c>
      <c r="P4" s="1" t="n"/>
    </row>
    <row r="5" ht="36" customHeight="1">
      <c r="A5" s="76" t="n">
        <v>4</v>
      </c>
      <c r="B5" s="77" t="n">
        <v>262314264</v>
      </c>
      <c r="C5" s="78" t="n">
        <v>46315</v>
      </c>
      <c r="D5" s="76" t="n">
        <v>85100515</v>
      </c>
      <c r="E5" s="77" t="inlineStr">
        <is>
          <t>Atlas Copco Airpower NV</t>
        </is>
      </c>
      <c r="F5" s="78" t="n">
        <v>46321</v>
      </c>
      <c r="G5" s="77" t="inlineStr">
        <is>
          <t>Gebaseerd op Klantorders 260217840.</t>
        </is>
      </c>
      <c r="H5" s="82" t="n">
        <v>271.04</v>
      </c>
      <c r="I5" s="76" t="inlineStr">
        <is>
          <t>NAM B.V. T.a.v. Accounts Payable</t>
        </is>
      </c>
      <c r="J5" s="76" t="inlineStr">
        <is>
          <t>-Geen verkoopmedewerker/koper-</t>
        </is>
      </c>
      <c r="K5" s="76" t="inlineStr">
        <is>
          <t>Open</t>
        </is>
      </c>
      <c r="L5" s="76" t="inlineStr">
        <is>
          <t>van Wees, M.</t>
        </is>
      </c>
      <c r="M5" s="83" t="n">
        <v>46315.38333333333</v>
      </c>
      <c r="N5" s="76" t="inlineStr">
        <is>
          <t>Y</t>
        </is>
      </c>
    </row>
    <row r="6" ht="36" customHeight="1">
      <c r="A6" s="72" t="n">
        <v>5</v>
      </c>
      <c r="B6" s="73" t="n">
        <v>262314246</v>
      </c>
      <c r="C6" s="74" t="n">
        <v>46314</v>
      </c>
      <c r="D6" s="72" t="n">
        <v>85100468</v>
      </c>
      <c r="E6" s="73" t="inlineStr">
        <is>
          <t>Edmac Europe NV</t>
        </is>
      </c>
      <c r="F6" s="74" t="n">
        <v>46321</v>
      </c>
      <c r="G6" s="73" t="inlineStr">
        <is>
          <t>Gebaseerd op Klantorders 260217805.</t>
        </is>
      </c>
      <c r="H6" s="80" t="n">
        <v>1232.73</v>
      </c>
      <c r="I6" s="72" t="inlineStr">
        <is>
          <t>Teunis Industrietechniek B.V.</t>
        </is>
      </c>
      <c r="J6" s="72" t="inlineStr">
        <is>
          <t>van Wees, M.</t>
        </is>
      </c>
      <c r="K6" s="72" t="inlineStr">
        <is>
          <t>Open</t>
        </is>
      </c>
      <c r="L6" s="72" t="inlineStr">
        <is>
          <t>van Wees, M.</t>
        </is>
      </c>
      <c r="M6" s="81" t="n">
        <v>46314.46458333333</v>
      </c>
      <c r="N6" s="72" t="inlineStr">
        <is>
          <t>Y</t>
        </is>
      </c>
    </row>
    <row r="7" ht="36" customHeight="1">
      <c r="A7" s="76" t="n">
        <v>6</v>
      </c>
      <c r="B7" s="77" t="n">
        <v>262314243</v>
      </c>
      <c r="C7" s="78" t="n">
        <v>46314</v>
      </c>
      <c r="D7" s="76" t="n">
        <v>85100515</v>
      </c>
      <c r="E7" s="77" t="inlineStr">
        <is>
          <t>Atlas Copco Airpower NV</t>
        </is>
      </c>
      <c r="F7" s="78" t="n">
        <v>46309</v>
      </c>
      <c r="G7" s="77" t="inlineStr">
        <is>
          <t>Gebaseerd op Klantorders 260217218.</t>
        </is>
      </c>
      <c r="H7" s="82" t="n">
        <v>300.18</v>
      </c>
      <c r="I7" s="76" t="inlineStr">
        <is>
          <t>Teijin Aramid B.V.</t>
        </is>
      </c>
      <c r="J7" s="76" t="inlineStr">
        <is>
          <t>Vrieling R.H.</t>
        </is>
      </c>
      <c r="K7" s="76" t="inlineStr">
        <is>
          <t>Open</t>
        </is>
      </c>
      <c r="L7" s="76" t="inlineStr">
        <is>
          <t>van Wees, M.</t>
        </is>
      </c>
      <c r="M7" s="83" t="n">
        <v>46314.44722222222</v>
      </c>
      <c r="N7" s="76" t="inlineStr">
        <is>
          <t>Y</t>
        </is>
      </c>
      <c r="P7" s="1" t="n"/>
    </row>
    <row r="8" ht="36" customHeight="1">
      <c r="A8" s="72" t="n">
        <v>7</v>
      </c>
      <c r="B8" s="73" t="n">
        <v>262314247</v>
      </c>
      <c r="C8" s="74" t="n">
        <v>46314</v>
      </c>
      <c r="D8" s="72" t="n">
        <v>85100515</v>
      </c>
      <c r="E8" s="73" t="inlineStr">
        <is>
          <t>Atlas Copco Airpower NV</t>
        </is>
      </c>
      <c r="F8" s="74" t="n">
        <v>46322</v>
      </c>
      <c r="G8" s="73" t="inlineStr">
        <is>
          <t>Gebaseerd op Klantorders 260217805.</t>
        </is>
      </c>
      <c r="H8" s="80" t="n">
        <v>2714.29</v>
      </c>
      <c r="I8" s="72" t="inlineStr">
        <is>
          <t>Teunis Industrietechniek B.V.</t>
        </is>
      </c>
      <c r="J8" s="72" t="inlineStr">
        <is>
          <t>van Wees, M.</t>
        </is>
      </c>
      <c r="K8" s="72" t="inlineStr">
        <is>
          <t>Open</t>
        </is>
      </c>
      <c r="L8" s="72" t="inlineStr">
        <is>
          <t>van Wees, M.</t>
        </is>
      </c>
      <c r="M8" s="81" t="n">
        <v>46314.44861111111</v>
      </c>
      <c r="N8" s="72" t="inlineStr">
        <is>
          <t>Y</t>
        </is>
      </c>
    </row>
    <row r="9" ht="36" customHeight="1">
      <c r="A9" s="76" t="n">
        <v>8</v>
      </c>
      <c r="B9" s="77" t="n">
        <v>262314233</v>
      </c>
      <c r="C9" s="78" t="n">
        <v>46311</v>
      </c>
      <c r="D9" s="76" t="n">
        <v>80000490</v>
      </c>
      <c r="E9" s="77" t="inlineStr">
        <is>
          <t>Parker Hannifin B.V.</t>
        </is>
      </c>
      <c r="F9" s="78" t="n">
        <v>46325</v>
      </c>
      <c r="G9" s="77" t="inlineStr">
        <is>
          <t>Gebaseerd op Klantorders 260217796.</t>
        </is>
      </c>
      <c r="H9" s="82" t="n">
        <v>1631.31</v>
      </c>
      <c r="I9" s="76" t="inlineStr">
        <is>
          <t>Busch B.V.</t>
        </is>
      </c>
      <c r="J9" s="76" t="inlineStr">
        <is>
          <t>van Wees, M.</t>
        </is>
      </c>
      <c r="K9" s="76" t="inlineStr">
        <is>
          <t>Open</t>
        </is>
      </c>
      <c r="L9" s="76" t="inlineStr">
        <is>
          <t>van Wees, M.</t>
        </is>
      </c>
      <c r="M9" s="83" t="n"/>
      <c r="N9" s="76" t="inlineStr">
        <is>
          <t>Y</t>
        </is>
      </c>
    </row>
    <row r="10" ht="36" customHeight="1">
      <c r="A10" s="72" t="n">
        <v>9</v>
      </c>
      <c r="B10" s="73" t="n">
        <v>262314188</v>
      </c>
      <c r="C10" s="74" t="n">
        <v>46309</v>
      </c>
      <c r="D10" s="72" t="n">
        <v>85100515</v>
      </c>
      <c r="E10" s="73" t="inlineStr">
        <is>
          <t>Atlas Copco Airpower NV</t>
        </is>
      </c>
      <c r="F10" s="74" t="n">
        <v>46314</v>
      </c>
      <c r="G10" s="73" t="inlineStr">
        <is>
          <t>Gebaseerd op Klantorders 260217482.</t>
        </is>
      </c>
      <c r="H10" s="80" t="n">
        <v>65.89</v>
      </c>
      <c r="I10" s="72" t="inlineStr">
        <is>
          <t>J.G. van der Mey B.V.</t>
        </is>
      </c>
      <c r="J10" s="72" t="inlineStr">
        <is>
          <t>Wit S. de</t>
        </is>
      </c>
      <c r="K10" s="72" t="inlineStr">
        <is>
          <t>Afgesloten</t>
        </is>
      </c>
      <c r="L10" s="72" t="inlineStr">
        <is>
          <t>van Wees, M.</t>
        </is>
      </c>
      <c r="M10" s="81" t="n">
        <v>46309.35277777778</v>
      </c>
      <c r="N10" s="72" t="inlineStr">
        <is>
          <t>Y</t>
        </is>
      </c>
    </row>
    <row r="11" ht="36" customHeight="1">
      <c r="A11" s="76" t="n">
        <v>10</v>
      </c>
      <c r="B11" s="77" t="n">
        <v>262314178</v>
      </c>
      <c r="C11" s="78" t="n">
        <v>46308</v>
      </c>
      <c r="D11" s="76" t="n">
        <v>85100515</v>
      </c>
      <c r="E11" s="77" t="inlineStr">
        <is>
          <t>Atlas Copco Airpower NV</t>
        </is>
      </c>
      <c r="F11" s="78" t="n">
        <v>46309</v>
      </c>
      <c r="G11" s="77" t="inlineStr">
        <is>
          <t>Gebaseerd op Klantorders 260217218.</t>
        </is>
      </c>
      <c r="H11" s="82" t="n">
        <v>298.31</v>
      </c>
      <c r="I11" s="76" t="inlineStr">
        <is>
          <t>Teijin Aramid B.V.</t>
        </is>
      </c>
      <c r="J11" s="76" t="inlineStr">
        <is>
          <t>Vrieling R.H.</t>
        </is>
      </c>
      <c r="K11" s="76" t="inlineStr">
        <is>
          <t>Afgesloten</t>
        </is>
      </c>
      <c r="L11" s="76" t="inlineStr">
        <is>
          <t>van Wees, M.</t>
        </is>
      </c>
      <c r="M11" s="83" t="n">
        <v>46308.48055555556</v>
      </c>
      <c r="N11" s="76" t="inlineStr">
        <is>
          <t>Y</t>
        </is>
      </c>
      <c r="P11" s="1" t="n"/>
    </row>
    <row r="12" ht="36" customHeight="1">
      <c r="A12" s="72" t="n">
        <v>11</v>
      </c>
      <c r="B12" s="73" t="n">
        <v>262314141</v>
      </c>
      <c r="C12" s="74" t="n">
        <v>46304</v>
      </c>
      <c r="D12" s="72" t="n">
        <v>85100468</v>
      </c>
      <c r="E12" s="73" t="inlineStr">
        <is>
          <t>Edmac Europe NV</t>
        </is>
      </c>
      <c r="F12" s="74" t="n">
        <v>46330</v>
      </c>
      <c r="G12" s="73" t="inlineStr">
        <is>
          <t>Gebaseerd op Klantorders 260217653.</t>
        </is>
      </c>
      <c r="H12" s="80" t="n">
        <v>1340.18</v>
      </c>
      <c r="I12" s="72" t="inlineStr">
        <is>
          <t>Superyacht Spares B.V.</t>
        </is>
      </c>
      <c r="J12" s="72" t="inlineStr">
        <is>
          <t>van Wees, M.</t>
        </is>
      </c>
      <c r="K12" s="72" t="inlineStr">
        <is>
          <t>Open</t>
        </is>
      </c>
      <c r="L12" s="72" t="inlineStr">
        <is>
          <t>van Wees, M.</t>
        </is>
      </c>
      <c r="M12" s="81" t="n">
        <v>46304.42638888889</v>
      </c>
      <c r="N12" s="72" t="inlineStr">
        <is>
          <t>Y</t>
        </is>
      </c>
      <c r="P12" s="1" t="n"/>
    </row>
    <row r="13" ht="36" customHeight="1">
      <c r="A13" s="76" t="n">
        <v>12</v>
      </c>
      <c r="B13" s="77" t="n">
        <v>262314145</v>
      </c>
      <c r="C13" s="78" t="n">
        <v>46304</v>
      </c>
      <c r="D13" s="76" t="n">
        <v>85100035</v>
      </c>
      <c r="E13" s="77" t="inlineStr">
        <is>
          <t>M-Filter BV</t>
        </is>
      </c>
      <c r="F13" s="78" t="n">
        <v>46331</v>
      </c>
      <c r="G13" s="77" t="n"/>
      <c r="H13" s="82" t="n">
        <v>550.55</v>
      </c>
      <c r="I13" s="76" t="n"/>
      <c r="J13" s="76" t="n"/>
      <c r="K13" s="76" t="inlineStr">
        <is>
          <t>Open</t>
        </is>
      </c>
      <c r="L13" s="76" t="inlineStr">
        <is>
          <t>van Wees, M.</t>
        </is>
      </c>
      <c r="M13" s="83" t="n"/>
      <c r="N13" s="76" t="inlineStr">
        <is>
          <t>Y</t>
        </is>
      </c>
    </row>
    <row r="14" ht="36" customHeight="1">
      <c r="A14" s="72" t="n">
        <v>13</v>
      </c>
      <c r="B14" s="73" t="n">
        <v>262314151</v>
      </c>
      <c r="C14" s="74" t="n">
        <v>46304</v>
      </c>
      <c r="D14" s="72" t="n">
        <v>85100515</v>
      </c>
      <c r="E14" s="73" t="inlineStr">
        <is>
          <t>Atlas Copco Airpower NV</t>
        </is>
      </c>
      <c r="F14" s="74" t="n">
        <v>46325</v>
      </c>
      <c r="G14" s="73" t="inlineStr">
        <is>
          <t>Gebaseerd op Klantorders 260216590. order is niet meer nodig, is geannuleerd</t>
        </is>
      </c>
      <c r="H14" s="80" t="n">
        <v>82.02</v>
      </c>
      <c r="I14" s="72" t="inlineStr">
        <is>
          <t>Corlido Project Supply BV</t>
        </is>
      </c>
      <c r="J14" s="72" t="inlineStr">
        <is>
          <t>van Wees, M.</t>
        </is>
      </c>
      <c r="K14" s="72" t="inlineStr">
        <is>
          <t>Afgesloten</t>
        </is>
      </c>
      <c r="L14" s="72" t="inlineStr">
        <is>
          <t>van Wees, M.</t>
        </is>
      </c>
      <c r="M14" s="81" t="n">
        <v>46304.58611111111</v>
      </c>
      <c r="N14" s="72" t="inlineStr">
        <is>
          <t>Y</t>
        </is>
      </c>
    </row>
    <row r="15" ht="36" customHeight="1">
      <c r="A15" s="76" t="n">
        <v>14</v>
      </c>
      <c r="B15" s="77" t="n">
        <v>262314152</v>
      </c>
      <c r="C15" s="78" t="n">
        <v>46304</v>
      </c>
      <c r="D15" s="76" t="n">
        <v>85100515</v>
      </c>
      <c r="E15" s="77" t="inlineStr">
        <is>
          <t>Atlas Copco Airpower NV</t>
        </is>
      </c>
      <c r="F15" s="78" t="n">
        <v>46325</v>
      </c>
      <c r="G15" s="77" t="inlineStr">
        <is>
          <t>Gebaseerd op Klantorders 260216590. order is niet meer nodig, is geannuleerd</t>
        </is>
      </c>
      <c r="H15" s="82" t="n">
        <v>82.02</v>
      </c>
      <c r="I15" s="76" t="inlineStr">
        <is>
          <t>Corlido Project Supply BV</t>
        </is>
      </c>
      <c r="J15" s="76" t="inlineStr">
        <is>
          <t>van Wees, M.</t>
        </is>
      </c>
      <c r="K15" s="76" t="inlineStr">
        <is>
          <t>Afgesloten</t>
        </is>
      </c>
      <c r="L15" s="76" t="inlineStr">
        <is>
          <t>van Wees, M.</t>
        </is>
      </c>
      <c r="M15" s="83" t="n">
        <v>46304.59375</v>
      </c>
      <c r="N15" s="76" t="inlineStr">
        <is>
          <t>Y</t>
        </is>
      </c>
    </row>
    <row r="16" ht="36" customHeight="1">
      <c r="A16" s="72" t="n">
        <v>15</v>
      </c>
      <c r="B16" s="73" t="n">
        <v>262314108</v>
      </c>
      <c r="C16" s="74" t="n">
        <v>46303</v>
      </c>
      <c r="D16" s="72" t="n">
        <v>85100123</v>
      </c>
      <c r="E16" s="73" t="inlineStr">
        <is>
          <t>Dalgakiran Kompresor San. VE Tic.LTD</t>
        </is>
      </c>
      <c r="F16" s="74" t="n">
        <v>46302</v>
      </c>
      <c r="G16" s="73" t="inlineStr">
        <is>
          <t>Gebaseerd op Klantorders 260217578.</t>
        </is>
      </c>
      <c r="H16" s="80" t="n">
        <v>489.9</v>
      </c>
      <c r="I16" s="72" t="inlineStr">
        <is>
          <t>Greenergy Biofuels Amsterdam B.V.</t>
        </is>
      </c>
      <c r="J16" s="72" t="inlineStr">
        <is>
          <t>Hudepohl W.</t>
        </is>
      </c>
      <c r="K16" s="72" t="inlineStr">
        <is>
          <t>Afgesloten</t>
        </is>
      </c>
      <c r="L16" s="72" t="inlineStr">
        <is>
          <t>van Wees, M.</t>
        </is>
      </c>
      <c r="M16" s="81" t="n"/>
      <c r="N16" s="72" t="inlineStr">
        <is>
          <t>Y</t>
        </is>
      </c>
    </row>
    <row r="17" ht="36" customHeight="1">
      <c r="A17" s="76" t="n">
        <v>16</v>
      </c>
      <c r="B17" s="77" t="n">
        <v>262314083</v>
      </c>
      <c r="C17" s="78" t="n">
        <v>46302</v>
      </c>
      <c r="D17" s="76" t="n">
        <v>80000490</v>
      </c>
      <c r="E17" s="77" t="inlineStr">
        <is>
          <t>Parker Hannifin B.V.</t>
        </is>
      </c>
      <c r="F17" s="78" t="n">
        <v>46311</v>
      </c>
      <c r="G17" s="77" t="inlineStr">
        <is>
          <t>Gebaseerd op Klantorders 260217592.</t>
        </is>
      </c>
      <c r="H17" s="82" t="n">
        <v>379.96</v>
      </c>
      <c r="I17" s="76" t="inlineStr">
        <is>
          <t>Eni Energy Netherlands B.V.</t>
        </is>
      </c>
      <c r="J17" s="76" t="inlineStr">
        <is>
          <t>van Wees, M.</t>
        </is>
      </c>
      <c r="K17" s="76" t="inlineStr">
        <is>
          <t>Open</t>
        </is>
      </c>
      <c r="L17" s="76" t="inlineStr">
        <is>
          <t>van Wees, M.</t>
        </is>
      </c>
      <c r="M17" s="83" t="n"/>
      <c r="N17" s="76" t="inlineStr">
        <is>
          <t>Y</t>
        </is>
      </c>
      <c r="P17" s="1" t="n"/>
    </row>
    <row r="18" ht="36" customHeight="1">
      <c r="A18" s="72" t="n">
        <v>17</v>
      </c>
      <c r="B18" s="73" t="n">
        <v>262314082</v>
      </c>
      <c r="C18" s="74" t="n">
        <v>46302</v>
      </c>
      <c r="D18" s="72" t="n">
        <v>85100515</v>
      </c>
      <c r="E18" s="73" t="inlineStr">
        <is>
          <t>Atlas Copco Airpower NV</t>
        </is>
      </c>
      <c r="F18" s="74" t="n">
        <v>46304</v>
      </c>
      <c r="G18" s="73" t="inlineStr">
        <is>
          <t>Gebaseerd op Klantorders 260217540.</t>
        </is>
      </c>
      <c r="H18" s="80" t="n">
        <v>427.94</v>
      </c>
      <c r="I18" s="72" t="inlineStr">
        <is>
          <t>Intervet International B.V.</t>
        </is>
      </c>
      <c r="J18" s="72" t="inlineStr">
        <is>
          <t>Kempe A.</t>
        </is>
      </c>
      <c r="K18" s="72" t="inlineStr">
        <is>
          <t>Afgesloten</t>
        </is>
      </c>
      <c r="L18" s="72" t="inlineStr">
        <is>
          <t>van Wees, M.</t>
        </is>
      </c>
      <c r="M18" s="81" t="n">
        <v>46302.65416666667</v>
      </c>
      <c r="N18" s="72" t="inlineStr">
        <is>
          <t>Y</t>
        </is>
      </c>
    </row>
    <row r="19" ht="36" customHeight="1">
      <c r="A19" s="76" t="n">
        <v>18</v>
      </c>
      <c r="B19" s="77" t="n">
        <v>262314077</v>
      </c>
      <c r="C19" s="78" t="n">
        <v>46302</v>
      </c>
      <c r="D19" s="76" t="n">
        <v>85100515</v>
      </c>
      <c r="E19" s="77" t="inlineStr">
        <is>
          <t>Atlas Copco Airpower NV</t>
        </is>
      </c>
      <c r="F19" s="78" t="n">
        <v>46307</v>
      </c>
      <c r="G19" s="77" t="inlineStr">
        <is>
          <t>Gebaseerd op Klantorders 260217573.</t>
        </is>
      </c>
      <c r="H19" s="82" t="n">
        <v>132.66</v>
      </c>
      <c r="I19" s="76" t="inlineStr">
        <is>
          <t>Dixstone Netherlands NV</t>
        </is>
      </c>
      <c r="J19" s="76" t="inlineStr">
        <is>
          <t>van Wees, M.</t>
        </is>
      </c>
      <c r="K19" s="76" t="inlineStr">
        <is>
          <t>Afgesloten</t>
        </is>
      </c>
      <c r="L19" s="76" t="inlineStr">
        <is>
          <t>van Wees, M.</t>
        </is>
      </c>
      <c r="M19" s="83" t="n">
        <v>46302.47708333333</v>
      </c>
      <c r="N19" s="76" t="inlineStr">
        <is>
          <t>Y</t>
        </is>
      </c>
    </row>
    <row r="20" ht="36" customHeight="1">
      <c r="A20" s="72" t="n">
        <v>19</v>
      </c>
      <c r="B20" s="73" t="n">
        <v>262314038</v>
      </c>
      <c r="C20" s="74" t="n">
        <v>46300</v>
      </c>
      <c r="D20" s="72" t="n">
        <v>80000207</v>
      </c>
      <c r="E20" s="73" t="inlineStr">
        <is>
          <t>Factair Ltd</t>
        </is>
      </c>
      <c r="F20" s="74" t="n">
        <v>46318</v>
      </c>
      <c r="G20" s="73" t="inlineStr">
        <is>
          <t>Gebaseerd op Klantorders 260217515.</t>
        </is>
      </c>
      <c r="H20" s="80" t="n">
        <v>357.68</v>
      </c>
      <c r="I20" s="72" t="inlineStr">
        <is>
          <t>Ministerie van Defensie FABK, Finan. Service Centrum</t>
        </is>
      </c>
      <c r="J20" s="72" t="inlineStr">
        <is>
          <t>van Wees, M.</t>
        </is>
      </c>
      <c r="K20" s="72" t="inlineStr">
        <is>
          <t>Afgesloten</t>
        </is>
      </c>
      <c r="L20" s="72" t="inlineStr">
        <is>
          <t>van Wees, M.</t>
        </is>
      </c>
      <c r="M20" s="81" t="n"/>
      <c r="N20" s="72" t="inlineStr">
        <is>
          <t>Y</t>
        </is>
      </c>
    </row>
    <row r="21" ht="36" customHeight="1">
      <c r="A21" s="76" t="n">
        <v>20</v>
      </c>
      <c r="B21" s="77" t="n">
        <v>262314040</v>
      </c>
      <c r="C21" s="78" t="n">
        <v>46300</v>
      </c>
      <c r="D21" s="76" t="n">
        <v>81001135</v>
      </c>
      <c r="E21" s="77" t="inlineStr">
        <is>
          <t>Itsme BV</t>
        </is>
      </c>
      <c r="F21" s="78" t="n">
        <v>46321</v>
      </c>
      <c r="G21" s="77" t="inlineStr">
        <is>
          <t>Gebaseerd op Klantorders 260217515.</t>
        </is>
      </c>
      <c r="H21" s="82" t="n">
        <v>403.67</v>
      </c>
      <c r="I21" s="76" t="inlineStr">
        <is>
          <t>Ministerie van Defensie FABK, Finan. Service Centrum</t>
        </is>
      </c>
      <c r="J21" s="76" t="inlineStr">
        <is>
          <t>van Wees, M.</t>
        </is>
      </c>
      <c r="K21" s="76" t="inlineStr">
        <is>
          <t>Open</t>
        </is>
      </c>
      <c r="L21" s="76" t="inlineStr">
        <is>
          <t>van Wees, M.</t>
        </is>
      </c>
      <c r="M21" s="83" t="n"/>
      <c r="N21" s="76" t="inlineStr">
        <is>
          <t>Y</t>
        </is>
      </c>
      <c r="P21" s="1" t="n"/>
      <c r="Q21" s="1" t="n"/>
    </row>
    <row r="22" ht="36" customHeight="1">
      <c r="A22" s="72" t="n">
        <v>21</v>
      </c>
      <c r="B22" s="73" t="n">
        <v>262314039</v>
      </c>
      <c r="C22" s="74" t="n">
        <v>46300</v>
      </c>
      <c r="D22" s="72" t="n">
        <v>80000490</v>
      </c>
      <c r="E22" s="73" t="inlineStr">
        <is>
          <t>Parker Hannifin B.V.</t>
        </is>
      </c>
      <c r="F22" s="74" t="n">
        <v>46300</v>
      </c>
      <c r="G22" s="73" t="inlineStr">
        <is>
          <t>Gebaseerd op Klantorders 260217515.</t>
        </is>
      </c>
      <c r="H22" s="80" t="n">
        <v>21.3</v>
      </c>
      <c r="I22" s="72" t="inlineStr">
        <is>
          <t>Ministerie van Defensie FABK, Finan. Service Centrum</t>
        </is>
      </c>
      <c r="J22" s="72" t="inlineStr">
        <is>
          <t>van Wees, M.</t>
        </is>
      </c>
      <c r="K22" s="72" t="inlineStr">
        <is>
          <t>Afgesloten</t>
        </is>
      </c>
      <c r="L22" s="72" t="inlineStr">
        <is>
          <t>van Wees, M.</t>
        </is>
      </c>
      <c r="M22" s="81" t="n"/>
      <c r="N22" s="72" t="inlineStr">
        <is>
          <t>Y</t>
        </is>
      </c>
      <c r="P22" s="1" t="n"/>
    </row>
    <row r="23" ht="36" customHeight="1">
      <c r="A23" s="76" t="n">
        <v>22</v>
      </c>
      <c r="B23" s="77" t="n">
        <v>262314034</v>
      </c>
      <c r="C23" s="78" t="n">
        <v>46300</v>
      </c>
      <c r="D23" s="76" t="n">
        <v>81001540</v>
      </c>
      <c r="E23" s="77" t="inlineStr">
        <is>
          <t>CompAir Drucklufttechnik GmbH</t>
        </is>
      </c>
      <c r="F23" s="78" t="n">
        <v>46304</v>
      </c>
      <c r="G23" s="77" t="inlineStr">
        <is>
          <t>Gebaseerd op Klantorders 260217433.</t>
        </is>
      </c>
      <c r="H23" s="82" t="n">
        <v>74.43000000000001</v>
      </c>
      <c r="I23" s="76" t="inlineStr">
        <is>
          <t>Smurfit Westrock TWINCORR B.V.</t>
        </is>
      </c>
      <c r="J23" s="76" t="inlineStr">
        <is>
          <t>Vrieling R.H.</t>
        </is>
      </c>
      <c r="K23" s="76" t="inlineStr">
        <is>
          <t>Afgesloten</t>
        </is>
      </c>
      <c r="L23" s="76" t="inlineStr">
        <is>
          <t>van Wees, M.</t>
        </is>
      </c>
      <c r="M23" s="83" t="n"/>
      <c r="N23" s="76" t="inlineStr">
        <is>
          <t>Y</t>
        </is>
      </c>
    </row>
    <row r="24" ht="36" customHeight="1">
      <c r="A24" s="72" t="n">
        <v>23</v>
      </c>
      <c r="B24" s="73" t="n">
        <v>262314041</v>
      </c>
      <c r="C24" s="74" t="n">
        <v>46300</v>
      </c>
      <c r="D24" s="72" t="n">
        <v>85001331</v>
      </c>
      <c r="E24" s="73" t="inlineStr">
        <is>
          <t>Geveke Service Centre</t>
        </is>
      </c>
      <c r="F24" s="74" t="n">
        <v>46308</v>
      </c>
      <c r="G24" s="73" t="inlineStr">
        <is>
          <t>Gebaseerd op Klantorders 260217515.</t>
        </is>
      </c>
      <c r="H24" s="80" t="n">
        <v>0</v>
      </c>
      <c r="I24" s="72" t="inlineStr">
        <is>
          <t>Ministerie van Defensie FABK, Finan. Service Centrum</t>
        </is>
      </c>
      <c r="J24" s="72" t="inlineStr">
        <is>
          <t>van Wees, M.</t>
        </is>
      </c>
      <c r="K24" s="72" t="inlineStr">
        <is>
          <t>Afgesloten</t>
        </is>
      </c>
      <c r="L24" s="72" t="inlineStr">
        <is>
          <t>van Wees, M.</t>
        </is>
      </c>
      <c r="M24" s="81" t="n"/>
      <c r="N24" s="72" t="inlineStr">
        <is>
          <t>Y</t>
        </is>
      </c>
    </row>
    <row r="25" ht="36" customHeight="1">
      <c r="A25" s="76" t="n">
        <v>24</v>
      </c>
      <c r="B25" s="77" t="n">
        <v>262314018</v>
      </c>
      <c r="C25" s="78" t="n">
        <v>46297</v>
      </c>
      <c r="D25" s="76" t="n">
        <v>85100515</v>
      </c>
      <c r="E25" s="77" t="inlineStr">
        <is>
          <t>Atlas Copco Airpower NV</t>
        </is>
      </c>
      <c r="F25" s="78" t="n">
        <v>46303</v>
      </c>
      <c r="G25" s="77" t="inlineStr">
        <is>
          <t>Gebaseerd op Klantorders 260217497.</t>
        </is>
      </c>
      <c r="H25" s="82" t="n">
        <v>820.5</v>
      </c>
      <c r="I25" s="76" t="inlineStr">
        <is>
          <t>Stepan Netherlands B.V.</t>
        </is>
      </c>
      <c r="J25" s="76" t="inlineStr">
        <is>
          <t>van Wees, M.</t>
        </is>
      </c>
      <c r="K25" s="76" t="inlineStr">
        <is>
          <t>Open</t>
        </is>
      </c>
      <c r="L25" s="76" t="inlineStr">
        <is>
          <t>van Wees, M.</t>
        </is>
      </c>
      <c r="M25" s="83" t="n">
        <v>46297.62013888889</v>
      </c>
      <c r="N25" s="76" t="inlineStr">
        <is>
          <t>Y</t>
        </is>
      </c>
    </row>
    <row r="26" ht="36" customHeight="1">
      <c r="A26" s="72" t="n">
        <v>25</v>
      </c>
      <c r="B26" s="73" t="n">
        <v>262313999</v>
      </c>
      <c r="C26" s="74" t="n">
        <v>46296</v>
      </c>
      <c r="D26" s="72" t="n">
        <v>80000430</v>
      </c>
      <c r="E26" s="73" t="inlineStr">
        <is>
          <t>Mehrer Compression GmbH</t>
        </is>
      </c>
      <c r="F26" s="74" t="n">
        <v>46315</v>
      </c>
      <c r="G26" s="73" t="inlineStr">
        <is>
          <t>Gebaseerd op Klantorders 260217445.</t>
        </is>
      </c>
      <c r="H26" s="80" t="n">
        <v>3412.77</v>
      </c>
      <c r="I26" s="72" t="inlineStr">
        <is>
          <t>N.V. HVC</t>
        </is>
      </c>
      <c r="J26" s="72" t="inlineStr">
        <is>
          <t>van Wees, M.</t>
        </is>
      </c>
      <c r="K26" s="72" t="inlineStr">
        <is>
          <t>Afgesloten</t>
        </is>
      </c>
      <c r="L26" s="72" t="inlineStr">
        <is>
          <t>van Wees, M.</t>
        </is>
      </c>
      <c r="M26" s="81" t="n"/>
      <c r="N26" s="72" t="inlineStr">
        <is>
          <t>Y</t>
        </is>
      </c>
    </row>
    <row r="27" ht="36" customHeight="1">
      <c r="A27" s="76" t="n">
        <v>26</v>
      </c>
      <c r="B27" s="77" t="n">
        <v>262314004</v>
      </c>
      <c r="C27" s="78" t="n">
        <v>46296</v>
      </c>
      <c r="D27" s="76" t="n">
        <v>85100515</v>
      </c>
      <c r="E27" s="77" t="inlineStr">
        <is>
          <t>Atlas Copco Airpower NV</t>
        </is>
      </c>
      <c r="F27" s="78" t="n">
        <v>46300</v>
      </c>
      <c r="G27" s="77" t="inlineStr">
        <is>
          <t>Gebaseerd op Klantorders 260217453.</t>
        </is>
      </c>
      <c r="H27" s="82" t="n">
        <v>218.92</v>
      </c>
      <c r="I27" s="76" t="inlineStr">
        <is>
          <t>N.V. HVC</t>
        </is>
      </c>
      <c r="J27" s="76" t="inlineStr">
        <is>
          <t>Hudepohl W.</t>
        </is>
      </c>
      <c r="K27" s="76" t="inlineStr">
        <is>
          <t>Afgesloten</t>
        </is>
      </c>
      <c r="L27" s="76" t="inlineStr">
        <is>
          <t>van Wees, M.</t>
        </is>
      </c>
      <c r="M27" s="83" t="n">
        <v>46296.66527777778</v>
      </c>
      <c r="N27" s="76" t="inlineStr">
        <is>
          <t>Y</t>
        </is>
      </c>
    </row>
    <row r="28" ht="36" customHeight="1">
      <c r="A28" s="72" t="n">
        <v>27</v>
      </c>
      <c r="B28" s="73" t="n">
        <v>262313984</v>
      </c>
      <c r="C28" s="74" t="n">
        <v>46296</v>
      </c>
      <c r="D28" s="72" t="n">
        <v>85100123</v>
      </c>
      <c r="E28" s="73" t="inlineStr">
        <is>
          <t>Dalgakiran Kompresor San. VE Tic.LTD</t>
        </is>
      </c>
      <c r="F28" s="74" t="n">
        <v>46303</v>
      </c>
      <c r="G28" s="73" t="inlineStr">
        <is>
          <t>Gebaseerd op Klantorders 260217415.</t>
        </is>
      </c>
      <c r="H28" s="80" t="n">
        <v>536</v>
      </c>
      <c r="I28" s="72" t="inlineStr">
        <is>
          <t>HKS Scrap Metals B.V.</t>
        </is>
      </c>
      <c r="J28" s="72" t="inlineStr">
        <is>
          <t>Hudepohl W.</t>
        </is>
      </c>
      <c r="K28" s="72" t="inlineStr">
        <is>
          <t>Afgesloten</t>
        </is>
      </c>
      <c r="L28" s="72" t="inlineStr">
        <is>
          <t>van Wees, M.</t>
        </is>
      </c>
      <c r="M28" s="81" t="n"/>
      <c r="N28" s="72" t="inlineStr">
        <is>
          <t>Y</t>
        </is>
      </c>
    </row>
    <row r="29" ht="36" customHeight="1">
      <c r="A29" s="76" t="n">
        <v>28</v>
      </c>
      <c r="B29" s="77" t="n">
        <v>262313969</v>
      </c>
      <c r="C29" s="78" t="n">
        <v>46295</v>
      </c>
      <c r="D29" s="76" t="n">
        <v>80000490</v>
      </c>
      <c r="E29" s="77" t="inlineStr">
        <is>
          <t>Parker Hannifin B.V.</t>
        </is>
      </c>
      <c r="F29" s="78" t="n">
        <v>46310</v>
      </c>
      <c r="G29" s="77" t="inlineStr">
        <is>
          <t>Gebaseerd op Klantorders 260217327.</t>
        </is>
      </c>
      <c r="H29" s="82" t="n">
        <v>75.2</v>
      </c>
      <c r="I29" s="76" t="inlineStr">
        <is>
          <t>HKS Scrap Metals B.V.</t>
        </is>
      </c>
      <c r="J29" s="76" t="inlineStr">
        <is>
          <t>Hudepohl W.</t>
        </is>
      </c>
      <c r="K29" s="76" t="inlineStr">
        <is>
          <t>Afgesloten</t>
        </is>
      </c>
      <c r="L29" s="76" t="inlineStr">
        <is>
          <t>van Wees, M.</t>
        </is>
      </c>
      <c r="M29" s="83" t="n"/>
      <c r="N29" s="76" t="inlineStr">
        <is>
          <t>Y</t>
        </is>
      </c>
    </row>
    <row r="30" ht="36" customHeight="1">
      <c r="A30" s="72" t="n">
        <v>29</v>
      </c>
      <c r="B30" s="73" t="n">
        <v>262313971</v>
      </c>
      <c r="C30" s="74" t="n">
        <v>46295</v>
      </c>
      <c r="D30" s="72" t="n">
        <v>80000328</v>
      </c>
      <c r="E30" s="73" t="inlineStr">
        <is>
          <t>Gardner Denver Ltd</t>
        </is>
      </c>
      <c r="F30" s="74" t="n">
        <v>46325</v>
      </c>
      <c r="G30" s="73" t="inlineStr">
        <is>
          <t>Gebaseerd op Klantorders 260217414.</t>
        </is>
      </c>
      <c r="H30" s="80" t="n">
        <v>320.26</v>
      </c>
      <c r="I30" s="72" t="inlineStr">
        <is>
          <t>Tenaz Energy Netherlands B.V.</t>
        </is>
      </c>
      <c r="J30" s="72" t="inlineStr">
        <is>
          <t>van Wees, M.</t>
        </is>
      </c>
      <c r="K30" s="72" t="inlineStr">
        <is>
          <t>Open</t>
        </is>
      </c>
      <c r="L30" s="72" t="inlineStr">
        <is>
          <t>van Wees, M.</t>
        </is>
      </c>
      <c r="M30" s="81" t="n"/>
      <c r="N30" s="72" t="inlineStr">
        <is>
          <t>Y</t>
        </is>
      </c>
    </row>
    <row r="31" ht="36" customHeight="1">
      <c r="A31" s="76" t="n">
        <v>30</v>
      </c>
      <c r="B31" s="77" t="n">
        <v>262313944</v>
      </c>
      <c r="C31" s="78" t="n">
        <v>46294</v>
      </c>
      <c r="D31" s="76" t="n">
        <v>85100468</v>
      </c>
      <c r="E31" s="77" t="inlineStr">
        <is>
          <t>Edmac Europe NV</t>
        </is>
      </c>
      <c r="F31" s="78" t="n">
        <v>46331</v>
      </c>
      <c r="G31" s="77" t="inlineStr">
        <is>
          <t>Gebaseerd op Klantorders 260217188.</t>
        </is>
      </c>
      <c r="H31" s="82" t="n">
        <v>403.25</v>
      </c>
      <c r="I31" s="76" t="inlineStr">
        <is>
          <t>Tata Steel IJmuiden B.V.</t>
        </is>
      </c>
      <c r="J31" s="76" t="inlineStr">
        <is>
          <t>Hudepohl W.</t>
        </is>
      </c>
      <c r="K31" s="76" t="inlineStr">
        <is>
          <t>Open</t>
        </is>
      </c>
      <c r="L31" s="76" t="inlineStr">
        <is>
          <t>van Wees, M.</t>
        </is>
      </c>
      <c r="M31" s="83" t="n">
        <v>46295.41666666666</v>
      </c>
      <c r="N31" s="76" t="inlineStr">
        <is>
          <t>Y</t>
        </is>
      </c>
    </row>
    <row r="32" ht="36" customHeight="1">
      <c r="A32" s="72" t="n">
        <v>31</v>
      </c>
      <c r="B32" s="73" t="n">
        <v>262313947</v>
      </c>
      <c r="C32" s="74" t="n">
        <v>46294</v>
      </c>
      <c r="D32" s="72" t="n">
        <v>85100468</v>
      </c>
      <c r="E32" s="73" t="inlineStr">
        <is>
          <t>Edmac Europe NV</t>
        </is>
      </c>
      <c r="F32" s="74" t="n">
        <v>46392</v>
      </c>
      <c r="G32" s="73" t="inlineStr">
        <is>
          <t>Gebaseerd op Klantorders 260217346.</t>
        </is>
      </c>
      <c r="H32" s="80" t="n">
        <v>3309.16</v>
      </c>
      <c r="I32" s="72" t="inlineStr">
        <is>
          <t>Nobian Industrial Chemicals B.V.</t>
        </is>
      </c>
      <c r="J32" s="72" t="inlineStr">
        <is>
          <t>Vrieling R.H.</t>
        </is>
      </c>
      <c r="K32" s="72" t="inlineStr">
        <is>
          <t>Open</t>
        </is>
      </c>
      <c r="L32" s="72" t="inlineStr">
        <is>
          <t>van Wees, M.</t>
        </is>
      </c>
      <c r="M32" s="81" t="n">
        <v>46295.41597222222</v>
      </c>
      <c r="N32" s="72" t="inlineStr">
        <is>
          <t>Y</t>
        </is>
      </c>
    </row>
    <row r="33" ht="36" customHeight="1">
      <c r="A33" s="76" t="n">
        <v>32</v>
      </c>
      <c r="B33" s="77" t="n">
        <v>262313931</v>
      </c>
      <c r="C33" s="78" t="n">
        <v>46293</v>
      </c>
      <c r="D33" s="76" t="n">
        <v>85100468</v>
      </c>
      <c r="E33" s="77" t="inlineStr">
        <is>
          <t>Edmac Europe NV</t>
        </is>
      </c>
      <c r="F33" s="78" t="n">
        <v>46303</v>
      </c>
      <c r="G33" s="77" t="inlineStr">
        <is>
          <t>Gebaseerd op Klantorders 260216228.</t>
        </is>
      </c>
      <c r="H33" s="82" t="n">
        <v>835.46</v>
      </c>
      <c r="I33" s="76" t="inlineStr">
        <is>
          <t>RET N.V.</t>
        </is>
      </c>
      <c r="J33" s="76" t="inlineStr">
        <is>
          <t>van Wees, M.</t>
        </is>
      </c>
      <c r="K33" s="76" t="inlineStr">
        <is>
          <t>Afgesloten</t>
        </is>
      </c>
      <c r="L33" s="76" t="inlineStr">
        <is>
          <t>van Wees, M.</t>
        </is>
      </c>
      <c r="M33" s="83" t="n">
        <v>46293.44583333333</v>
      </c>
      <c r="N33" s="76" t="inlineStr">
        <is>
          <t>Y</t>
        </is>
      </c>
    </row>
    <row r="34" ht="36" customHeight="1">
      <c r="A34" s="72" t="n">
        <v>33</v>
      </c>
      <c r="B34" s="73" t="n">
        <v>262313940</v>
      </c>
      <c r="C34" s="74" t="n">
        <v>46293</v>
      </c>
      <c r="D34" s="72" t="n">
        <v>80000490</v>
      </c>
      <c r="E34" s="73" t="inlineStr">
        <is>
          <t>Parker Hannifin B.V.</t>
        </is>
      </c>
      <c r="F34" s="74" t="n">
        <v>46303</v>
      </c>
      <c r="G34" s="73" t="inlineStr">
        <is>
          <t>Gebaseerd op Klantorders 260217328.</t>
        </is>
      </c>
      <c r="H34" s="80" t="n">
        <v>1074.48</v>
      </c>
      <c r="I34" s="72" t="inlineStr">
        <is>
          <t>Volharding Shipping AG</t>
        </is>
      </c>
      <c r="J34" s="72" t="inlineStr">
        <is>
          <t>Hudepohl W.</t>
        </is>
      </c>
      <c r="K34" s="72" t="inlineStr">
        <is>
          <t>Afgesloten</t>
        </is>
      </c>
      <c r="L34" s="72" t="inlineStr">
        <is>
          <t>van Wees, M.</t>
        </is>
      </c>
      <c r="M34" s="81" t="n"/>
      <c r="N34" s="72" t="inlineStr">
        <is>
          <t>Y</t>
        </is>
      </c>
    </row>
    <row r="35" ht="36" customHeight="1">
      <c r="A35" s="76" t="n">
        <v>34</v>
      </c>
      <c r="B35" s="77" t="n">
        <v>262313930</v>
      </c>
      <c r="C35" s="78" t="n">
        <v>46293</v>
      </c>
      <c r="D35" s="76" t="n">
        <v>85100468</v>
      </c>
      <c r="E35" s="77" t="inlineStr">
        <is>
          <t>Edmac Europe NV</t>
        </is>
      </c>
      <c r="F35" s="78" t="n">
        <v>46358</v>
      </c>
      <c r="G35" s="77" t="inlineStr">
        <is>
          <t>Gebaseerd op Klantorders 260217286.</t>
        </is>
      </c>
      <c r="H35" s="82" t="n">
        <v>748.38</v>
      </c>
      <c r="I35" s="76" t="inlineStr">
        <is>
          <t>Pequip Mar</t>
        </is>
      </c>
      <c r="J35" s="76" t="inlineStr">
        <is>
          <t>van Wees, M.</t>
        </is>
      </c>
      <c r="K35" s="76" t="inlineStr">
        <is>
          <t>Open</t>
        </is>
      </c>
      <c r="L35" s="76" t="inlineStr">
        <is>
          <t>van Wees, M.</t>
        </is>
      </c>
      <c r="M35" s="83" t="n">
        <v>46293.44652777778</v>
      </c>
      <c r="N35" s="76" t="inlineStr">
        <is>
          <t>Y</t>
        </is>
      </c>
    </row>
    <row r="36" ht="36" customHeight="1">
      <c r="A36" s="72" t="n">
        <v>35</v>
      </c>
      <c r="B36" s="73" t="n">
        <v>262313893</v>
      </c>
      <c r="C36" s="74" t="n">
        <v>46289</v>
      </c>
      <c r="D36" s="72" t="n">
        <v>81001135</v>
      </c>
      <c r="E36" s="73" t="inlineStr">
        <is>
          <t>Itsme BV</t>
        </is>
      </c>
      <c r="F36" s="74" t="n">
        <v>46301</v>
      </c>
      <c r="G36" s="73" t="n"/>
      <c r="H36" s="80" t="n">
        <v>74.81</v>
      </c>
      <c r="I36" s="72" t="n"/>
      <c r="J36" s="72" t="n"/>
      <c r="K36" s="72" t="inlineStr">
        <is>
          <t>Afgesloten</t>
        </is>
      </c>
      <c r="L36" s="72" t="inlineStr">
        <is>
          <t>van Wees, M.</t>
        </is>
      </c>
      <c r="M36" s="81" t="n"/>
      <c r="N36" s="72" t="inlineStr">
        <is>
          <t>Y</t>
        </is>
      </c>
    </row>
    <row r="37" ht="36" customHeight="1">
      <c r="A37" s="76" t="n">
        <v>36</v>
      </c>
      <c r="B37" s="77" t="n">
        <v>262313872</v>
      </c>
      <c r="C37" s="78" t="n">
        <v>46288</v>
      </c>
      <c r="D37" s="76" t="n">
        <v>85100515</v>
      </c>
      <c r="E37" s="77" t="inlineStr">
        <is>
          <t>Atlas Copco Airpower NV</t>
        </is>
      </c>
      <c r="F37" s="78" t="n">
        <v>46293</v>
      </c>
      <c r="G37" s="77" t="inlineStr">
        <is>
          <t>Gebaseerd op Klantorders 260217227.</t>
        </is>
      </c>
      <c r="H37" s="82" t="n">
        <v>23.68</v>
      </c>
      <c r="I37" s="76" t="inlineStr">
        <is>
          <t>Mccain Foods Holland B.V.</t>
        </is>
      </c>
      <c r="J37" s="76" t="inlineStr">
        <is>
          <t>van Wees, M.</t>
        </is>
      </c>
      <c r="K37" s="76" t="inlineStr">
        <is>
          <t>Afgesloten</t>
        </is>
      </c>
      <c r="L37" s="76" t="inlineStr">
        <is>
          <t>van Wees, M.</t>
        </is>
      </c>
      <c r="M37" s="83" t="n">
        <v>46290.34791666667</v>
      </c>
      <c r="N37" s="76" t="inlineStr">
        <is>
          <t>Y</t>
        </is>
      </c>
    </row>
    <row r="38" ht="36" customHeight="1">
      <c r="A38" s="72" t="n">
        <v>37</v>
      </c>
      <c r="B38" s="73" t="n">
        <v>262313864</v>
      </c>
      <c r="C38" s="74" t="n">
        <v>46287</v>
      </c>
      <c r="D38" s="72" t="n">
        <v>85100468</v>
      </c>
      <c r="E38" s="73" t="inlineStr">
        <is>
          <t>Edmac Europe NV</t>
        </is>
      </c>
      <c r="F38" s="74" t="n">
        <v>46293</v>
      </c>
      <c r="G38" s="73" t="inlineStr">
        <is>
          <t>Gebaseerd op Klantorders 260217209.</t>
        </is>
      </c>
      <c r="H38" s="80" t="n">
        <v>113.25</v>
      </c>
      <c r="I38" s="72" t="inlineStr">
        <is>
          <t>Tenaz Energy Netherlands B.V.</t>
        </is>
      </c>
      <c r="J38" s="72" t="inlineStr">
        <is>
          <t>van Wees, M.</t>
        </is>
      </c>
      <c r="K38" s="72" t="inlineStr">
        <is>
          <t>Afgesloten</t>
        </is>
      </c>
      <c r="L38" s="72" t="inlineStr">
        <is>
          <t>van Wees, M.</t>
        </is>
      </c>
      <c r="M38" s="81" t="n">
        <v>46287.58333333334</v>
      </c>
      <c r="N38" s="72" t="inlineStr">
        <is>
          <t>Y</t>
        </is>
      </c>
    </row>
    <row r="39" ht="36" customHeight="1">
      <c r="A39" s="76" t="n">
        <v>38</v>
      </c>
      <c r="B39" s="77" t="n">
        <v>262313822</v>
      </c>
      <c r="C39" s="78" t="n">
        <v>46283</v>
      </c>
      <c r="D39" s="76" t="n">
        <v>85100468</v>
      </c>
      <c r="E39" s="77" t="inlineStr">
        <is>
          <t>Edmac Europe NV</t>
        </is>
      </c>
      <c r="F39" s="78" t="n">
        <v>46314</v>
      </c>
      <c r="G39" s="77" t="inlineStr">
        <is>
          <t>Gebaseerd op Klantorders 260217133.</t>
        </is>
      </c>
      <c r="H39" s="82" t="n">
        <v>3498.45</v>
      </c>
      <c r="I39" s="76" t="inlineStr">
        <is>
          <t>GVB Exploitatie B.V.</t>
        </is>
      </c>
      <c r="J39" s="76" t="inlineStr">
        <is>
          <t>van Wees, M.</t>
        </is>
      </c>
      <c r="K39" s="76" t="inlineStr">
        <is>
          <t>Afgesloten</t>
        </is>
      </c>
      <c r="L39" s="76" t="inlineStr">
        <is>
          <t>van Wees, M.</t>
        </is>
      </c>
      <c r="M39" s="83" t="n">
        <v>46293.44791666666</v>
      </c>
      <c r="N39" s="76" t="inlineStr">
        <is>
          <t>Y</t>
        </is>
      </c>
    </row>
    <row r="40" ht="36" customHeight="1">
      <c r="A40" s="72" t="n">
        <v>39</v>
      </c>
      <c r="B40" s="73" t="n">
        <v>262313821</v>
      </c>
      <c r="C40" s="74" t="n">
        <v>46282</v>
      </c>
      <c r="D40" s="72" t="n">
        <v>85100468</v>
      </c>
      <c r="E40" s="73" t="inlineStr">
        <is>
          <t>Edmac Europe NV</t>
        </is>
      </c>
      <c r="F40" s="74" t="n">
        <v>46311</v>
      </c>
      <c r="G40" s="73" t="inlineStr">
        <is>
          <t>Gebaseerd op Klantorders 260216399.</t>
        </is>
      </c>
      <c r="H40" s="80" t="n">
        <v>434.13</v>
      </c>
      <c r="I40" s="72" t="inlineStr">
        <is>
          <t>Viterra Botlek B.V.</t>
        </is>
      </c>
      <c r="J40" s="72" t="inlineStr">
        <is>
          <t>Kempe A.</t>
        </is>
      </c>
      <c r="K40" s="72" t="inlineStr">
        <is>
          <t>Afgesloten</t>
        </is>
      </c>
      <c r="L40" s="72" t="inlineStr">
        <is>
          <t>van Wees, M.</t>
        </is>
      </c>
      <c r="M40" s="81" t="n">
        <v>46283.50763888889</v>
      </c>
      <c r="N40" s="72" t="inlineStr">
        <is>
          <t>Y</t>
        </is>
      </c>
    </row>
    <row r="41" ht="36" customHeight="1">
      <c r="A41" s="76" t="n">
        <v>40</v>
      </c>
      <c r="B41" s="77" t="n">
        <v>262313794</v>
      </c>
      <c r="C41" s="78" t="n">
        <v>46280</v>
      </c>
      <c r="D41" s="76" t="n">
        <v>85100515</v>
      </c>
      <c r="E41" s="77" t="inlineStr">
        <is>
          <t>Atlas Copco Airpower NV</t>
        </is>
      </c>
      <c r="F41" s="78" t="n">
        <v>46282</v>
      </c>
      <c r="G41" s="77" t="inlineStr">
        <is>
          <t>Gebaseerd op Klantorders 260216948.</t>
        </is>
      </c>
      <c r="H41" s="82" t="n">
        <v>369.26</v>
      </c>
      <c r="I41" s="76" t="inlineStr">
        <is>
          <t>AOC Nederland B.V. / 3410</t>
        </is>
      </c>
      <c r="J41" s="76" t="inlineStr">
        <is>
          <t>Vrieling R.H.</t>
        </is>
      </c>
      <c r="K41" s="76" t="inlineStr">
        <is>
          <t>Afgesloten</t>
        </is>
      </c>
      <c r="L41" s="76" t="inlineStr">
        <is>
          <t>van Wees, M.</t>
        </is>
      </c>
      <c r="M41" s="83" t="n">
        <v>46280.5125</v>
      </c>
      <c r="N41" s="76" t="inlineStr">
        <is>
          <t>Y</t>
        </is>
      </c>
    </row>
    <row r="42" ht="36" customHeight="1">
      <c r="A42" s="72" t="n">
        <v>41</v>
      </c>
      <c r="B42" s="73" t="n">
        <v>262313789</v>
      </c>
      <c r="C42" s="74" t="n">
        <v>46280</v>
      </c>
      <c r="D42" s="72" t="n">
        <v>85100515</v>
      </c>
      <c r="E42" s="73" t="inlineStr">
        <is>
          <t>Atlas Copco Airpower NV</t>
        </is>
      </c>
      <c r="F42" s="74" t="n">
        <v>46282</v>
      </c>
      <c r="G42" s="73" t="inlineStr">
        <is>
          <t>Gebaseerd op Klantorders 260216416.</t>
        </is>
      </c>
      <c r="H42" s="80" t="n">
        <v>313.94</v>
      </c>
      <c r="I42" s="72" t="inlineStr">
        <is>
          <t>BFL Bewehrung- und Fertigteilewerk Laar Gmbh</t>
        </is>
      </c>
      <c r="J42" s="72" t="inlineStr">
        <is>
          <t>Vrieling R.H.</t>
        </is>
      </c>
      <c r="K42" s="72" t="inlineStr">
        <is>
          <t>Afgesloten</t>
        </is>
      </c>
      <c r="L42" s="72" t="inlineStr">
        <is>
          <t>van Wees, M.</t>
        </is>
      </c>
      <c r="M42" s="81" t="n">
        <v>46280.51736111111</v>
      </c>
      <c r="N42" s="72" t="inlineStr">
        <is>
          <t>Y</t>
        </is>
      </c>
    </row>
    <row r="43" ht="36" customHeight="1">
      <c r="A43" s="76" t="n">
        <v>42</v>
      </c>
      <c r="B43" s="77" t="n">
        <v>262313779</v>
      </c>
      <c r="C43" s="78" t="n">
        <v>46279</v>
      </c>
      <c r="D43" s="76" t="n">
        <v>85100515</v>
      </c>
      <c r="E43" s="77" t="inlineStr">
        <is>
          <t>Atlas Copco Airpower NV</t>
        </is>
      </c>
      <c r="F43" s="78" t="n">
        <v>46287</v>
      </c>
      <c r="G43" s="77" t="inlineStr">
        <is>
          <t>Gebaseerd op Klantorders 260217051.</t>
        </is>
      </c>
      <c r="H43" s="82" t="n">
        <v>286.04</v>
      </c>
      <c r="I43" s="76" t="inlineStr">
        <is>
          <t>Teunis Industrietechniek B.V.</t>
        </is>
      </c>
      <c r="J43" s="76" t="inlineStr">
        <is>
          <t>van Wees, M.</t>
        </is>
      </c>
      <c r="K43" s="76" t="inlineStr">
        <is>
          <t>Afgesloten</t>
        </is>
      </c>
      <c r="L43" s="76" t="inlineStr">
        <is>
          <t>van Wees, M.</t>
        </is>
      </c>
      <c r="M43" s="83" t="n">
        <v>46279.63263888889</v>
      </c>
      <c r="N43" s="76" t="inlineStr">
        <is>
          <t>Y</t>
        </is>
      </c>
    </row>
    <row r="44" ht="36" customHeight="1">
      <c r="A44" s="72" t="n">
        <v>43</v>
      </c>
      <c r="B44" s="73" t="n">
        <v>262313759</v>
      </c>
      <c r="C44" s="74" t="n">
        <v>46276</v>
      </c>
      <c r="D44" s="72" t="n">
        <v>85100468</v>
      </c>
      <c r="E44" s="73" t="inlineStr">
        <is>
          <t>Edmac Europe NV</t>
        </is>
      </c>
      <c r="F44" s="74" t="n">
        <v>46290</v>
      </c>
      <c r="G44" s="73" t="inlineStr">
        <is>
          <t>Gebaseerd op Klantorders 260217032.</t>
        </is>
      </c>
      <c r="H44" s="80" t="n">
        <v>62.61</v>
      </c>
      <c r="I44" s="72" t="inlineStr">
        <is>
          <t>MSN Aftersales</t>
        </is>
      </c>
      <c r="J44" s="72" t="inlineStr">
        <is>
          <t>van Wees, M.</t>
        </is>
      </c>
      <c r="K44" s="72" t="inlineStr">
        <is>
          <t>Afgesloten</t>
        </is>
      </c>
      <c r="L44" s="72" t="inlineStr">
        <is>
          <t>van Wees, M.</t>
        </is>
      </c>
      <c r="M44" s="81" t="n">
        <v>46276.51597222222</v>
      </c>
      <c r="N44" s="72" t="inlineStr">
        <is>
          <t>Y</t>
        </is>
      </c>
    </row>
    <row r="45" ht="36" customHeight="1">
      <c r="A45" s="76" t="n">
        <v>44</v>
      </c>
      <c r="B45" s="77" t="n">
        <v>262313762</v>
      </c>
      <c r="C45" s="78" t="n">
        <v>46276</v>
      </c>
      <c r="D45" s="76" t="n">
        <v>80000296</v>
      </c>
      <c r="E45" s="77" t="inlineStr">
        <is>
          <t>S.W. Hettema &amp; Zn</t>
        </is>
      </c>
      <c r="F45" s="78" t="n">
        <v>46283</v>
      </c>
      <c r="G45" s="77" t="inlineStr">
        <is>
          <t>Gebaseerd op Klantorders 260215595.</t>
        </is>
      </c>
      <c r="H45" s="82" t="n">
        <v>46.04</v>
      </c>
      <c r="I45" s="76" t="inlineStr">
        <is>
          <t>Grasdrogerij Hartog B.V.</t>
        </is>
      </c>
      <c r="J45" s="76" t="inlineStr">
        <is>
          <t>Hudepohl W.</t>
        </is>
      </c>
      <c r="K45" s="76" t="inlineStr">
        <is>
          <t>Afgesloten</t>
        </is>
      </c>
      <c r="L45" s="76" t="inlineStr">
        <is>
          <t>van Wees, M.</t>
        </is>
      </c>
      <c r="M45" s="83" t="n"/>
      <c r="N45" s="76" t="inlineStr">
        <is>
          <t>Y</t>
        </is>
      </c>
    </row>
    <row r="46" ht="36" customHeight="1">
      <c r="A46" s="72" t="n">
        <v>45</v>
      </c>
      <c r="B46" s="73" t="n">
        <v>262313743</v>
      </c>
      <c r="C46" s="74" t="n">
        <v>46275</v>
      </c>
      <c r="D46" s="72" t="n">
        <v>85100468</v>
      </c>
      <c r="E46" s="73" t="inlineStr">
        <is>
          <t>Edmac Europe NV</t>
        </is>
      </c>
      <c r="F46" s="74" t="n">
        <v>46290</v>
      </c>
      <c r="G46" s="73" t="inlineStr">
        <is>
          <t>Gebaseerd op Klantorders 260216987.</t>
        </is>
      </c>
      <c r="H46" s="80" t="n">
        <v>1072.2</v>
      </c>
      <c r="I46" s="72" t="inlineStr">
        <is>
          <t>Royal Huisman Shipyard B.V.</t>
        </is>
      </c>
      <c r="J46" s="72" t="inlineStr">
        <is>
          <t>van Wees, M.</t>
        </is>
      </c>
      <c r="K46" s="72" t="inlineStr">
        <is>
          <t>Afgesloten</t>
        </is>
      </c>
      <c r="L46" s="72" t="inlineStr">
        <is>
          <t>van Wees, M.</t>
        </is>
      </c>
      <c r="M46" s="81" t="n">
        <v>46276.48333333333</v>
      </c>
      <c r="N46" s="72" t="inlineStr">
        <is>
          <t>Y</t>
        </is>
      </c>
    </row>
    <row r="47" ht="36" customHeight="1">
      <c r="A47" s="76" t="n">
        <v>46</v>
      </c>
      <c r="B47" s="77" t="n">
        <v>262313706</v>
      </c>
      <c r="C47" s="78" t="n">
        <v>46273</v>
      </c>
      <c r="D47" s="76" t="n">
        <v>80000435</v>
      </c>
      <c r="E47" s="77" t="inlineStr">
        <is>
          <t>Midland Diving Equipment Ltd</t>
        </is>
      </c>
      <c r="F47" s="78" t="n">
        <v>46279</v>
      </c>
      <c r="G47" s="77" t="inlineStr">
        <is>
          <t>Gebaseerd op Klantorders 260216953.</t>
        </is>
      </c>
      <c r="H47" s="82" t="n">
        <v>1321.15</v>
      </c>
      <c r="I47" s="76" t="inlineStr">
        <is>
          <t>Ministerie van Defensie FABK, Finan. Service Centrum</t>
        </is>
      </c>
      <c r="J47" s="76" t="inlineStr">
        <is>
          <t>van Wees, M.</t>
        </is>
      </c>
      <c r="K47" s="76" t="inlineStr">
        <is>
          <t>Afgesloten</t>
        </is>
      </c>
      <c r="L47" s="76" t="inlineStr">
        <is>
          <t>van Wees, M.</t>
        </is>
      </c>
      <c r="M47" s="83" t="n"/>
      <c r="N47" s="76" t="inlineStr">
        <is>
          <t>Y</t>
        </is>
      </c>
    </row>
    <row r="48" ht="36" customHeight="1">
      <c r="A48" s="72" t="n">
        <v>47</v>
      </c>
      <c r="B48" s="73" t="n">
        <v>262313688</v>
      </c>
      <c r="C48" s="74" t="n">
        <v>46273</v>
      </c>
      <c r="D48" s="72" t="n">
        <v>85100468</v>
      </c>
      <c r="E48" s="73" t="inlineStr">
        <is>
          <t>Edmac Europe NV</t>
        </is>
      </c>
      <c r="F48" s="74" t="n">
        <v>46280</v>
      </c>
      <c r="G48" s="73" t="inlineStr">
        <is>
          <t>Gebaseerd op Klantorders 260216938.</t>
        </is>
      </c>
      <c r="H48" s="80" t="n">
        <v>117.06</v>
      </c>
      <c r="I48" s="72" t="inlineStr">
        <is>
          <t>MTEC B.V.</t>
        </is>
      </c>
      <c r="J48" s="72" t="inlineStr">
        <is>
          <t>van Wees, M.</t>
        </is>
      </c>
      <c r="K48" s="72" t="inlineStr">
        <is>
          <t>Afgesloten</t>
        </is>
      </c>
      <c r="L48" s="72" t="inlineStr">
        <is>
          <t>van Wees, M.</t>
        </is>
      </c>
      <c r="M48" s="81" t="n">
        <v>46273.37361111111</v>
      </c>
      <c r="N48" s="72" t="inlineStr">
        <is>
          <t>Y</t>
        </is>
      </c>
    </row>
    <row r="49" ht="36" customHeight="1">
      <c r="A49" s="76" t="n">
        <v>48</v>
      </c>
      <c r="B49" s="77" t="n">
        <v>262313711</v>
      </c>
      <c r="C49" s="78" t="n">
        <v>46273</v>
      </c>
      <c r="D49" s="76" t="n">
        <v>81002985</v>
      </c>
      <c r="E49" s="77" t="inlineStr">
        <is>
          <t>Aerzen Nederland B.V.</t>
        </is>
      </c>
      <c r="F49" s="78" t="n">
        <v>46316</v>
      </c>
      <c r="G49" s="77" t="inlineStr">
        <is>
          <t>Gebaseerd op Klantorders 260212076.</t>
        </is>
      </c>
      <c r="H49" s="82" t="n">
        <v>4542.15</v>
      </c>
      <c r="I49" s="76" t="inlineStr">
        <is>
          <t>RWE Eemshaven Holding II  B.V.</t>
        </is>
      </c>
      <c r="J49" s="76" t="inlineStr">
        <is>
          <t>Stuiver R.</t>
        </is>
      </c>
      <c r="K49" s="76" t="inlineStr">
        <is>
          <t>Afgesloten</t>
        </is>
      </c>
      <c r="L49" s="76" t="inlineStr">
        <is>
          <t>van Wees, M.</t>
        </is>
      </c>
      <c r="M49" s="83" t="n"/>
      <c r="N49" s="76" t="inlineStr">
        <is>
          <t>Y</t>
        </is>
      </c>
    </row>
    <row r="50" ht="36" customHeight="1">
      <c r="A50" s="72" t="n">
        <v>49</v>
      </c>
      <c r="B50" s="73" t="n">
        <v>262313712</v>
      </c>
      <c r="C50" s="74" t="n">
        <v>46273</v>
      </c>
      <c r="D50" s="72" t="n">
        <v>85100468</v>
      </c>
      <c r="E50" s="73" t="inlineStr">
        <is>
          <t>Edmac Europe NV</t>
        </is>
      </c>
      <c r="F50" s="74" t="n">
        <v>46310</v>
      </c>
      <c r="G50" s="73" t="inlineStr">
        <is>
          <t>Gebaseerd op Klantorders 260216959.</t>
        </is>
      </c>
      <c r="H50" s="80" t="n">
        <v>444.44</v>
      </c>
      <c r="I50" s="72" t="inlineStr">
        <is>
          <t>Sonneborn Refined Product B.V.</t>
        </is>
      </c>
      <c r="J50" s="72" t="inlineStr">
        <is>
          <t>Hudepohl W.</t>
        </is>
      </c>
      <c r="K50" s="72" t="inlineStr">
        <is>
          <t>Afgesloten</t>
        </is>
      </c>
      <c r="L50" s="72" t="inlineStr">
        <is>
          <t>van Wees, M.</t>
        </is>
      </c>
      <c r="M50" s="81" t="n">
        <v>46273.68402777778</v>
      </c>
      <c r="N50" s="72" t="inlineStr">
        <is>
          <t>Y</t>
        </is>
      </c>
    </row>
    <row r="51" ht="36" customHeight="1">
      <c r="A51" s="76" t="n">
        <v>50</v>
      </c>
      <c r="B51" s="77" t="n">
        <v>262313678</v>
      </c>
      <c r="C51" s="78" t="n">
        <v>46272</v>
      </c>
      <c r="D51" s="76" t="n">
        <v>81000534</v>
      </c>
      <c r="E51" s="77" t="inlineStr">
        <is>
          <t>Atlas Copco Compressors Ned</t>
        </is>
      </c>
      <c r="F51" s="78" t="n">
        <v>46275</v>
      </c>
      <c r="G51" s="77" t="inlineStr">
        <is>
          <t>Gebaseerd op Klantorders 260216740.</t>
        </is>
      </c>
      <c r="H51" s="82" t="n">
        <v>524.54</v>
      </c>
      <c r="I51" s="76" t="inlineStr">
        <is>
          <t>Teunis Industrietechniek B.V.</t>
        </is>
      </c>
      <c r="J51" s="76" t="inlineStr">
        <is>
          <t>van Wees, M.</t>
        </is>
      </c>
      <c r="K51" s="76" t="inlineStr">
        <is>
          <t>Afgesloten</t>
        </is>
      </c>
      <c r="L51" s="76" t="inlineStr">
        <is>
          <t>van Wees, M.</t>
        </is>
      </c>
      <c r="M51" s="83" t="n"/>
      <c r="N51" s="76" t="inlineStr">
        <is>
          <t>Y</t>
        </is>
      </c>
    </row>
    <row r="52" ht="36" customHeight="1">
      <c r="A52" s="72" t="n">
        <v>51</v>
      </c>
      <c r="B52" s="73" t="n">
        <v>262313686</v>
      </c>
      <c r="C52" s="74" t="n">
        <v>46272</v>
      </c>
      <c r="D52" s="72" t="n">
        <v>85100515</v>
      </c>
      <c r="E52" s="73" t="inlineStr">
        <is>
          <t>Atlas Copco Airpower NV</t>
        </is>
      </c>
      <c r="F52" s="74" t="n">
        <v>46324</v>
      </c>
      <c r="G52" s="73" t="inlineStr">
        <is>
          <t>Gebaseerd op Klantorders 260216457.</t>
        </is>
      </c>
      <c r="H52" s="80" t="n">
        <v>13299.78</v>
      </c>
      <c r="I52" s="72" t="inlineStr">
        <is>
          <t>Lamb-Weston</t>
        </is>
      </c>
      <c r="J52" s="72" t="inlineStr">
        <is>
          <t>Stuiver R.</t>
        </is>
      </c>
      <c r="K52" s="72" t="inlineStr">
        <is>
          <t>Open</t>
        </is>
      </c>
      <c r="L52" s="72" t="inlineStr">
        <is>
          <t>van Wees, M.</t>
        </is>
      </c>
      <c r="M52" s="81" t="n">
        <v>46272.65972222222</v>
      </c>
      <c r="N52" s="72" t="inlineStr">
        <is>
          <t>Y</t>
        </is>
      </c>
    </row>
    <row r="53" ht="36" customHeight="1">
      <c r="A53" s="76" t="n">
        <v>52</v>
      </c>
      <c r="B53" s="77" t="n">
        <v>262313635</v>
      </c>
      <c r="C53" s="78" t="n">
        <v>46269</v>
      </c>
      <c r="D53" s="76" t="n">
        <v>80000207</v>
      </c>
      <c r="E53" s="77" t="inlineStr">
        <is>
          <t>Factair Ltd</t>
        </is>
      </c>
      <c r="F53" s="78" t="n">
        <v>46290</v>
      </c>
      <c r="G53" s="77" t="inlineStr">
        <is>
          <t>Gebaseerd op Klantorders 260216875.</t>
        </is>
      </c>
      <c r="H53" s="82" t="n">
        <v>781.3099999999999</v>
      </c>
      <c r="I53" s="76" t="inlineStr">
        <is>
          <t>Alert B.V. Veiligheidsmiddelen &amp; Services</t>
        </is>
      </c>
      <c r="J53" s="76" t="inlineStr">
        <is>
          <t>van Wees, M.</t>
        </is>
      </c>
      <c r="K53" s="76" t="inlineStr">
        <is>
          <t>Afgesloten</t>
        </is>
      </c>
      <c r="L53" s="76" t="inlineStr">
        <is>
          <t>van Wees, M.</t>
        </is>
      </c>
      <c r="M53" s="83" t="n"/>
      <c r="N53" s="76" t="inlineStr">
        <is>
          <t>Y</t>
        </is>
      </c>
    </row>
    <row r="54" ht="36" customHeight="1">
      <c r="A54" s="72" t="n">
        <v>53</v>
      </c>
      <c r="B54" s="73" t="n">
        <v>262313619</v>
      </c>
      <c r="C54" s="74" t="n">
        <v>46268</v>
      </c>
      <c r="D54" s="72" t="n">
        <v>85100515</v>
      </c>
      <c r="E54" s="73" t="inlineStr">
        <is>
          <t>Atlas Copco Airpower NV</t>
        </is>
      </c>
      <c r="F54" s="74" t="n">
        <v>46279</v>
      </c>
      <c r="G54" s="73" t="inlineStr">
        <is>
          <t>Gebaseerd op Klantorders 260216776.</t>
        </is>
      </c>
      <c r="H54" s="80" t="n">
        <v>1727.87</v>
      </c>
      <c r="I54" s="72" t="inlineStr">
        <is>
          <t>Exolum Amsterdam B.V.</t>
        </is>
      </c>
      <c r="J54" s="72" t="inlineStr">
        <is>
          <t>Hudepohl W.</t>
        </is>
      </c>
      <c r="K54" s="72" t="inlineStr">
        <is>
          <t>Afgesloten</t>
        </is>
      </c>
      <c r="L54" s="72" t="inlineStr">
        <is>
          <t>van Wees, M.</t>
        </is>
      </c>
      <c r="M54" s="81" t="n">
        <v>46268.34652777778</v>
      </c>
      <c r="N54" s="72" t="inlineStr">
        <is>
          <t>Y</t>
        </is>
      </c>
    </row>
    <row r="55" ht="36" customHeight="1">
      <c r="A55" s="76" t="n">
        <v>54</v>
      </c>
      <c r="B55" s="77" t="n">
        <v>262313630</v>
      </c>
      <c r="C55" s="78" t="n">
        <v>46268</v>
      </c>
      <c r="D55" s="76" t="n">
        <v>85002274</v>
      </c>
      <c r="E55" s="77" t="inlineStr">
        <is>
          <t>GMT International BV</t>
        </is>
      </c>
      <c r="F55" s="78" t="n">
        <v>46272</v>
      </c>
      <c r="G55" s="77" t="inlineStr">
        <is>
          <t>Gebaseerd op Klantorders 260216786.  Zie inkoop 262314124 andere lev code</t>
        </is>
      </c>
      <c r="H55" s="82" t="n">
        <v>267.29</v>
      </c>
      <c r="I55" s="76" t="inlineStr">
        <is>
          <t>HKS Scrap Metals B.V.</t>
        </is>
      </c>
      <c r="J55" s="76" t="inlineStr">
        <is>
          <t>Kempe A.</t>
        </is>
      </c>
      <c r="K55" s="76" t="inlineStr">
        <is>
          <t>Afgesloten</t>
        </is>
      </c>
      <c r="L55" s="76" t="inlineStr">
        <is>
          <t>van Wees, M.</t>
        </is>
      </c>
      <c r="M55" s="83" t="n"/>
      <c r="N55" s="76" t="inlineStr">
        <is>
          <t>Y</t>
        </is>
      </c>
    </row>
    <row r="56" ht="36" customHeight="1">
      <c r="A56" s="72" t="n">
        <v>55</v>
      </c>
      <c r="B56" s="73" t="n">
        <v>262313599</v>
      </c>
      <c r="C56" s="74" t="n">
        <v>46267</v>
      </c>
      <c r="D56" s="72" t="n">
        <v>85100468</v>
      </c>
      <c r="E56" s="73" t="inlineStr">
        <is>
          <t>Edmac Europe NV</t>
        </is>
      </c>
      <c r="F56" s="74" t="n">
        <v>46290</v>
      </c>
      <c r="G56" s="73" t="inlineStr">
        <is>
          <t>Gebaseerd op Klantorders 260216740.</t>
        </is>
      </c>
      <c r="H56" s="80" t="n">
        <v>489.96</v>
      </c>
      <c r="I56" s="72" t="inlineStr">
        <is>
          <t>Teunis Industrietechniek B.V.</t>
        </is>
      </c>
      <c r="J56" s="72" t="inlineStr">
        <is>
          <t>van Wees, M.</t>
        </is>
      </c>
      <c r="K56" s="72" t="inlineStr">
        <is>
          <t>Afgesloten</t>
        </is>
      </c>
      <c r="L56" s="72" t="inlineStr">
        <is>
          <t>van Wees, M.</t>
        </is>
      </c>
      <c r="M56" s="81" t="n">
        <v>46276.46875</v>
      </c>
      <c r="N56" s="72" t="inlineStr">
        <is>
          <t>Y</t>
        </is>
      </c>
    </row>
    <row r="57" ht="36" customHeight="1">
      <c r="A57" s="76" t="n">
        <v>56</v>
      </c>
      <c r="B57" s="77" t="n">
        <v>262313600</v>
      </c>
      <c r="C57" s="78" t="n">
        <v>46267</v>
      </c>
      <c r="D57" s="76" t="n">
        <v>85100515</v>
      </c>
      <c r="E57" s="77" t="inlineStr">
        <is>
          <t>Atlas Copco Airpower NV</t>
        </is>
      </c>
      <c r="F57" s="78" t="n">
        <v>46280</v>
      </c>
      <c r="G57" s="77" t="inlineStr">
        <is>
          <t>Gebaseerd op Klantorders 260216740.</t>
        </is>
      </c>
      <c r="H57" s="82" t="n">
        <v>922.21</v>
      </c>
      <c r="I57" s="76" t="inlineStr">
        <is>
          <t>Teunis Industrietechniek B.V.</t>
        </is>
      </c>
      <c r="J57" s="76" t="inlineStr">
        <is>
          <t>van Wees, M.</t>
        </is>
      </c>
      <c r="K57" s="76" t="inlineStr">
        <is>
          <t>Afgesloten</t>
        </is>
      </c>
      <c r="L57" s="76" t="inlineStr">
        <is>
          <t>van Wees, M.</t>
        </is>
      </c>
      <c r="M57" s="83" t="n">
        <v>46267.42986111111</v>
      </c>
      <c r="N57" s="76" t="inlineStr">
        <is>
          <t>Y</t>
        </is>
      </c>
    </row>
    <row r="58" ht="36" customHeight="1">
      <c r="A58" s="72" t="n">
        <v>57</v>
      </c>
      <c r="B58" s="73" t="n">
        <v>262313597</v>
      </c>
      <c r="C58" s="74" t="n">
        <v>46267</v>
      </c>
      <c r="D58" s="72" t="n">
        <v>85100468</v>
      </c>
      <c r="E58" s="73" t="inlineStr">
        <is>
          <t>Edmac Europe NV</t>
        </is>
      </c>
      <c r="F58" s="74" t="n">
        <v>46295</v>
      </c>
      <c r="G58" s="73" t="inlineStr">
        <is>
          <t>Gebaseerd op Klantorders 260216759.</t>
        </is>
      </c>
      <c r="H58" s="80" t="n">
        <v>252.73</v>
      </c>
      <c r="I58" s="72" t="inlineStr">
        <is>
          <t>Ketjen Netherlands B.V.</t>
        </is>
      </c>
      <c r="J58" s="72" t="inlineStr">
        <is>
          <t>van Wees, M.</t>
        </is>
      </c>
      <c r="K58" s="72" t="inlineStr">
        <is>
          <t>Afgesloten</t>
        </is>
      </c>
      <c r="L58" s="72" t="inlineStr">
        <is>
          <t>van Wees, M.</t>
        </is>
      </c>
      <c r="M58" s="81" t="n">
        <v>46267.41319444445</v>
      </c>
      <c r="N58" s="72" t="inlineStr">
        <is>
          <t>Y</t>
        </is>
      </c>
    </row>
    <row r="59" ht="36" customHeight="1">
      <c r="A59" s="76" t="n">
        <v>58</v>
      </c>
      <c r="B59" s="77" t="n">
        <v>262313583</v>
      </c>
      <c r="C59" s="78" t="n">
        <v>46266</v>
      </c>
      <c r="D59" s="76" t="n">
        <v>85100468</v>
      </c>
      <c r="E59" s="77" t="inlineStr">
        <is>
          <t>Edmac Europe NV</t>
        </is>
      </c>
      <c r="F59" s="78" t="n">
        <v>46280</v>
      </c>
      <c r="G59" s="77" t="inlineStr">
        <is>
          <t>Gebaseerd op Klantorders 260216638.</t>
        </is>
      </c>
      <c r="H59" s="82" t="n">
        <v>978.37</v>
      </c>
      <c r="I59" s="76" t="inlineStr">
        <is>
          <t>W. Heemskerk B.V.</t>
        </is>
      </c>
      <c r="J59" s="76" t="inlineStr">
        <is>
          <t>Hudepohl W.</t>
        </is>
      </c>
      <c r="K59" s="76" t="inlineStr">
        <is>
          <t>Afgesloten</t>
        </is>
      </c>
      <c r="L59" s="76" t="inlineStr">
        <is>
          <t>van Wees, M.</t>
        </is>
      </c>
      <c r="M59" s="83" t="n">
        <v>46268.45902777778</v>
      </c>
      <c r="N59" s="76" t="inlineStr">
        <is>
          <t>Y</t>
        </is>
      </c>
    </row>
    <row r="60" ht="36" customHeight="1">
      <c r="A60" s="72" t="n">
        <v>59</v>
      </c>
      <c r="B60" s="73" t="n">
        <v>262313589</v>
      </c>
      <c r="C60" s="74" t="n">
        <v>46266</v>
      </c>
      <c r="D60" s="72" t="n">
        <v>85100515</v>
      </c>
      <c r="E60" s="73" t="inlineStr">
        <is>
          <t>Atlas Copco Airpower NV</t>
        </is>
      </c>
      <c r="F60" s="74" t="n">
        <v>46261</v>
      </c>
      <c r="G60" s="73" t="inlineStr">
        <is>
          <t>Gebaseerd op Klantorders 260216591.</t>
        </is>
      </c>
      <c r="H60" s="80" t="n">
        <v>53.39</v>
      </c>
      <c r="I60" s="72" t="inlineStr">
        <is>
          <t>Corlido Project Supply BV</t>
        </is>
      </c>
      <c r="J60" s="72" t="inlineStr">
        <is>
          <t>van Wees, M.</t>
        </is>
      </c>
      <c r="K60" s="72" t="inlineStr">
        <is>
          <t>Afgesloten</t>
        </is>
      </c>
      <c r="L60" s="72" t="inlineStr">
        <is>
          <t>van Wees, M.</t>
        </is>
      </c>
      <c r="M60" s="81" t="n">
        <v>46266.66736111111</v>
      </c>
      <c r="N60" s="72" t="inlineStr">
        <is>
          <t>Y</t>
        </is>
      </c>
    </row>
    <row r="61" ht="36" customHeight="1">
      <c r="A61" s="76" t="n">
        <v>60</v>
      </c>
      <c r="B61" s="77" t="n">
        <v>262313554</v>
      </c>
      <c r="C61" s="78" t="n">
        <v>46265</v>
      </c>
      <c r="D61" s="76" t="n">
        <v>85100515</v>
      </c>
      <c r="E61" s="77" t="inlineStr">
        <is>
          <t>Atlas Copco Airpower NV</t>
        </is>
      </c>
      <c r="F61" s="78" t="n">
        <v>46297</v>
      </c>
      <c r="G61" s="77" t="inlineStr">
        <is>
          <t>Gebaseerd op Klantorders 260216590.</t>
        </is>
      </c>
      <c r="H61" s="82" t="n">
        <v>9569.73</v>
      </c>
      <c r="I61" s="76" t="inlineStr">
        <is>
          <t>Corlido Project Supply BV</t>
        </is>
      </c>
      <c r="J61" s="76" t="inlineStr">
        <is>
          <t>van Wees, M.</t>
        </is>
      </c>
      <c r="K61" s="76" t="inlineStr">
        <is>
          <t>Afgesloten</t>
        </is>
      </c>
      <c r="L61" s="76" t="inlineStr">
        <is>
          <t>van Wees, M.</t>
        </is>
      </c>
      <c r="M61" s="83" t="n">
        <v>46265.41736111111</v>
      </c>
      <c r="N61" s="76" t="inlineStr">
        <is>
          <t>Y</t>
        </is>
      </c>
    </row>
    <row r="62" ht="36" customHeight="1">
      <c r="A62" s="72" t="n">
        <v>61</v>
      </c>
      <c r="B62" s="73" t="n">
        <v>262313555</v>
      </c>
      <c r="C62" s="74" t="n">
        <v>46265</v>
      </c>
      <c r="D62" s="72" t="n">
        <v>85100515</v>
      </c>
      <c r="E62" s="73" t="inlineStr">
        <is>
          <t>Atlas Copco Airpower NV</t>
        </is>
      </c>
      <c r="F62" s="74" t="n">
        <v>46325</v>
      </c>
      <c r="G62" s="73" t="inlineStr">
        <is>
          <t>Gebaseerd op Klantorders 260216589.</t>
        </is>
      </c>
      <c r="H62" s="80" t="n">
        <v>18982.43</v>
      </c>
      <c r="I62" s="72" t="inlineStr">
        <is>
          <t>Corlido Project Supply BV</t>
        </is>
      </c>
      <c r="J62" s="72" t="inlineStr">
        <is>
          <t>van Wees, M.</t>
        </is>
      </c>
      <c r="K62" s="72" t="inlineStr">
        <is>
          <t>Open</t>
        </is>
      </c>
      <c r="L62" s="72" t="inlineStr">
        <is>
          <t>van Wees, M.</t>
        </is>
      </c>
      <c r="M62" s="81" t="n">
        <v>46265.41666666666</v>
      </c>
      <c r="N62" s="72" t="inlineStr">
        <is>
          <t>Y</t>
        </is>
      </c>
    </row>
    <row r="63" ht="36" customHeight="1">
      <c r="A63" s="76" t="n">
        <v>62</v>
      </c>
      <c r="B63" s="77" t="n">
        <v>262313553</v>
      </c>
      <c r="C63" s="78" t="n">
        <v>46265</v>
      </c>
      <c r="D63" s="76" t="n">
        <v>85100515</v>
      </c>
      <c r="E63" s="77" t="inlineStr">
        <is>
          <t>Atlas Copco Airpower NV</t>
        </is>
      </c>
      <c r="F63" s="78" t="n">
        <v>46297</v>
      </c>
      <c r="G63" s="77" t="inlineStr">
        <is>
          <t>Gebaseerd op Klantorders 260216591.</t>
        </is>
      </c>
      <c r="H63" s="82" t="n">
        <v>38758.82</v>
      </c>
      <c r="I63" s="76" t="inlineStr">
        <is>
          <t>Corlido Project Supply BV</t>
        </is>
      </c>
      <c r="J63" s="76" t="inlineStr">
        <is>
          <t>van Wees, M.</t>
        </is>
      </c>
      <c r="K63" s="76" t="inlineStr">
        <is>
          <t>Afgesloten</t>
        </is>
      </c>
      <c r="L63" s="76" t="inlineStr">
        <is>
          <t>van Wees, M.</t>
        </is>
      </c>
      <c r="M63" s="83" t="n">
        <v>46265.41875</v>
      </c>
      <c r="N63" s="76" t="inlineStr">
        <is>
          <t>Y</t>
        </is>
      </c>
    </row>
    <row r="64" ht="36" customHeight="1">
      <c r="A64" s="72" t="n">
        <v>63</v>
      </c>
      <c r="B64" s="73" t="n">
        <v>262313502</v>
      </c>
      <c r="C64" s="74" t="n">
        <v>46261</v>
      </c>
      <c r="D64" s="72" t="n">
        <v>85100515</v>
      </c>
      <c r="E64" s="73" t="inlineStr">
        <is>
          <t>Atlas Copco Airpower NV</t>
        </is>
      </c>
      <c r="F64" s="74" t="n">
        <v>46295</v>
      </c>
      <c r="G64" s="73" t="inlineStr">
        <is>
          <t>Gebaseerd op Klantorders 260216577.</t>
        </is>
      </c>
      <c r="H64" s="80" t="n">
        <v>3732.73</v>
      </c>
      <c r="I64" s="72" t="inlineStr">
        <is>
          <t>Teunis Industrietechniek B.V.</t>
        </is>
      </c>
      <c r="J64" s="72" t="inlineStr">
        <is>
          <t>van Wees, M.</t>
        </is>
      </c>
      <c r="K64" s="72" t="inlineStr">
        <is>
          <t>Afgesloten</t>
        </is>
      </c>
      <c r="L64" s="72" t="inlineStr">
        <is>
          <t>van Wees, M.</t>
        </is>
      </c>
      <c r="M64" s="81" t="n">
        <v>46261.45416666667</v>
      </c>
      <c r="N64" s="72" t="inlineStr">
        <is>
          <t>Y</t>
        </is>
      </c>
    </row>
    <row r="65" ht="36" customHeight="1">
      <c r="A65" s="76" t="n">
        <v>64</v>
      </c>
      <c r="B65" s="77" t="n">
        <v>262313510</v>
      </c>
      <c r="C65" s="78" t="n">
        <v>46261</v>
      </c>
      <c r="D65" s="76" t="n">
        <v>85100515</v>
      </c>
      <c r="E65" s="77" t="inlineStr">
        <is>
          <t>Atlas Copco Airpower NV</t>
        </is>
      </c>
      <c r="F65" s="78" t="n">
        <v>46314</v>
      </c>
      <c r="G65" s="77" t="inlineStr">
        <is>
          <t>Gebaseerd op Klantorders 260216456.</t>
        </is>
      </c>
      <c r="H65" s="82" t="n">
        <v>1293.96</v>
      </c>
      <c r="I65" s="76" t="inlineStr">
        <is>
          <t>European Aerosols</t>
        </is>
      </c>
      <c r="J65" s="76" t="inlineStr">
        <is>
          <t>Vrieling R.H.</t>
        </is>
      </c>
      <c r="K65" s="76" t="inlineStr">
        <is>
          <t>Afgesloten</t>
        </is>
      </c>
      <c r="L65" s="76" t="inlineStr">
        <is>
          <t>van Wees, M.</t>
        </is>
      </c>
      <c r="M65" s="83" t="n">
        <v>46261.52222222222</v>
      </c>
      <c r="N65" s="76" t="inlineStr">
        <is>
          <t>Y</t>
        </is>
      </c>
    </row>
    <row r="66" ht="36" customHeight="1">
      <c r="A66" s="72" t="n">
        <v>65</v>
      </c>
      <c r="B66" s="73" t="n">
        <v>262313519</v>
      </c>
      <c r="C66" s="74" t="n">
        <v>46261</v>
      </c>
      <c r="D66" s="72" t="n">
        <v>85100515</v>
      </c>
      <c r="E66" s="73" t="inlineStr">
        <is>
          <t>Atlas Copco Airpower NV</t>
        </is>
      </c>
      <c r="F66" s="74" t="n">
        <v>46280</v>
      </c>
      <c r="G66" s="73" t="inlineStr">
        <is>
          <t>Gebaseerd op Klantorders 260214572.</t>
        </is>
      </c>
      <c r="H66" s="80" t="n">
        <v>882.08</v>
      </c>
      <c r="I66" s="72" t="inlineStr">
        <is>
          <t>Schulte &amp; Lestraden B.V.</t>
        </is>
      </c>
      <c r="J66" s="72" t="inlineStr">
        <is>
          <t>-Geen verkoopmedewerker/koper-</t>
        </is>
      </c>
      <c r="K66" s="72" t="inlineStr">
        <is>
          <t>Afgesloten</t>
        </is>
      </c>
      <c r="L66" s="72" t="inlineStr">
        <is>
          <t>van Wees, M.</t>
        </is>
      </c>
      <c r="M66" s="81" t="n">
        <v>46261.62638888889</v>
      </c>
      <c r="N66" s="72" t="inlineStr">
        <is>
          <t>Y</t>
        </is>
      </c>
    </row>
    <row r="67" ht="36" customHeight="1">
      <c r="A67" s="76" t="n">
        <v>66</v>
      </c>
      <c r="B67" s="77" t="n">
        <v>262313521</v>
      </c>
      <c r="C67" s="78" t="n">
        <v>46261</v>
      </c>
      <c r="D67" s="76" t="n">
        <v>85100468</v>
      </c>
      <c r="E67" s="77" t="inlineStr">
        <is>
          <t>Edmac Europe NV</t>
        </is>
      </c>
      <c r="F67" s="78" t="n">
        <v>46280</v>
      </c>
      <c r="G67" s="77" t="inlineStr">
        <is>
          <t>Gebaseerd op Klantorders 260216585.</t>
        </is>
      </c>
      <c r="H67" s="82" t="n">
        <v>278.52</v>
      </c>
      <c r="I67" s="76" t="inlineStr">
        <is>
          <t>Matthijs B.V.</t>
        </is>
      </c>
      <c r="J67" s="76" t="inlineStr">
        <is>
          <t>Kempe A.</t>
        </is>
      </c>
      <c r="K67" s="76" t="inlineStr">
        <is>
          <t>Afgesloten</t>
        </is>
      </c>
      <c r="L67" s="76" t="inlineStr">
        <is>
          <t>van Wees, M.</t>
        </is>
      </c>
      <c r="M67" s="83" t="n">
        <v>46261.62847222222</v>
      </c>
      <c r="N67" s="76" t="inlineStr">
        <is>
          <t>Y</t>
        </is>
      </c>
    </row>
    <row r="68" ht="36" customHeight="1">
      <c r="A68" s="72" t="n">
        <v>67</v>
      </c>
      <c r="B68" s="73" t="n">
        <v>262313476</v>
      </c>
      <c r="C68" s="74" t="n">
        <v>46260</v>
      </c>
      <c r="D68" s="72" t="n">
        <v>85100515</v>
      </c>
      <c r="E68" s="73" t="inlineStr">
        <is>
          <t>Atlas Copco Airpower NV</t>
        </is>
      </c>
      <c r="F68" s="74" t="n">
        <v>46259</v>
      </c>
      <c r="G68" s="73" t="inlineStr">
        <is>
          <t>Gebaseerd op Klantorders 260216457.</t>
        </is>
      </c>
      <c r="H68" s="80" t="n">
        <v>13299.78</v>
      </c>
      <c r="I68" s="72" t="inlineStr">
        <is>
          <t>Lamb-Weston</t>
        </is>
      </c>
      <c r="J68" s="72" t="inlineStr">
        <is>
          <t>Stuiver R.</t>
        </is>
      </c>
      <c r="K68" s="72" t="inlineStr">
        <is>
          <t>Afgesloten</t>
        </is>
      </c>
      <c r="L68" s="72" t="inlineStr">
        <is>
          <t>van Wees, M.</t>
        </is>
      </c>
      <c r="M68" s="81" t="n">
        <v>46260.55694444444</v>
      </c>
      <c r="N68" s="72" t="inlineStr">
        <is>
          <t>Y</t>
        </is>
      </c>
    </row>
    <row r="69" ht="36" customHeight="1">
      <c r="A69" s="76" t="n">
        <v>68</v>
      </c>
      <c r="B69" s="77" t="n">
        <v>262313450</v>
      </c>
      <c r="C69" s="78" t="n">
        <v>46258</v>
      </c>
      <c r="D69" s="76" t="n">
        <v>85100515</v>
      </c>
      <c r="E69" s="77" t="inlineStr">
        <is>
          <t>Atlas Copco Airpower NV</t>
        </is>
      </c>
      <c r="F69" s="78" t="n">
        <v>46262</v>
      </c>
      <c r="G69" s="77" t="inlineStr">
        <is>
          <t>Gebaseerd op Klantorders 260210911.</t>
        </is>
      </c>
      <c r="H69" s="82" t="n">
        <v>204.04</v>
      </c>
      <c r="I69" s="76" t="inlineStr">
        <is>
          <t>Cargill Bioindustrial B.V.</t>
        </is>
      </c>
      <c r="J69" s="76" t="inlineStr">
        <is>
          <t>-Geen verkoopmedewerker/koper-</t>
        </is>
      </c>
      <c r="K69" s="76" t="inlineStr">
        <is>
          <t>Afgesloten</t>
        </is>
      </c>
      <c r="L69" s="76" t="inlineStr">
        <is>
          <t>van Wees, M.</t>
        </is>
      </c>
      <c r="M69" s="83" t="n">
        <v>46258.44652777778</v>
      </c>
      <c r="N69" s="76" t="inlineStr">
        <is>
          <t>Y</t>
        </is>
      </c>
    </row>
    <row r="70" ht="36" customHeight="1">
      <c r="A70" s="72" t="n">
        <v>69</v>
      </c>
      <c r="B70" s="73" t="n">
        <v>262313453</v>
      </c>
      <c r="C70" s="74" t="n">
        <v>46258</v>
      </c>
      <c r="D70" s="72" t="n">
        <v>85001331</v>
      </c>
      <c r="E70" s="73" t="inlineStr">
        <is>
          <t>Geveke Service Centre</t>
        </is>
      </c>
      <c r="F70" s="74" t="n">
        <v>46260</v>
      </c>
      <c r="G70" s="73" t="inlineStr">
        <is>
          <t>Gebaseerd op Klantorders 260216398.</t>
        </is>
      </c>
      <c r="H70" s="80" t="n">
        <v>212.67</v>
      </c>
      <c r="I70" s="72" t="inlineStr">
        <is>
          <t>Stolthaven Moerdijk B.V.</t>
        </is>
      </c>
      <c r="J70" s="72" t="inlineStr">
        <is>
          <t>Kempe A.</t>
        </is>
      </c>
      <c r="K70" s="72" t="inlineStr">
        <is>
          <t>Afgesloten</t>
        </is>
      </c>
      <c r="L70" s="72" t="inlineStr">
        <is>
          <t>van Wees, M.</t>
        </is>
      </c>
      <c r="M70" s="81" t="n"/>
      <c r="N70" s="72" t="inlineStr">
        <is>
          <t>Y</t>
        </is>
      </c>
    </row>
    <row r="71" ht="36" customHeight="1">
      <c r="A71" s="76" t="n">
        <v>70</v>
      </c>
      <c r="B71" s="77" t="n">
        <v>262313451</v>
      </c>
      <c r="C71" s="78" t="n">
        <v>46258</v>
      </c>
      <c r="D71" s="76" t="n">
        <v>85100468</v>
      </c>
      <c r="E71" s="77" t="inlineStr">
        <is>
          <t>Edmac Europe NV</t>
        </is>
      </c>
      <c r="F71" s="78" t="n">
        <v>46266</v>
      </c>
      <c r="G71" s="77" t="inlineStr">
        <is>
          <t>Gebaseerd op Klantorders 260216398.</t>
        </is>
      </c>
      <c r="H71" s="82" t="n">
        <v>126.15</v>
      </c>
      <c r="I71" s="76" t="inlineStr">
        <is>
          <t>Stolthaven Moerdijk B.V.</t>
        </is>
      </c>
      <c r="J71" s="76" t="inlineStr">
        <is>
          <t>Kempe A.</t>
        </is>
      </c>
      <c r="K71" s="76" t="inlineStr">
        <is>
          <t>Afgesloten</t>
        </is>
      </c>
      <c r="L71" s="76" t="inlineStr">
        <is>
          <t>van Wees, M.</t>
        </is>
      </c>
      <c r="M71" s="83" t="n">
        <v>46258.45208333333</v>
      </c>
      <c r="N71" s="76" t="inlineStr">
        <is>
          <t>Y</t>
        </is>
      </c>
    </row>
    <row r="72" ht="36" customHeight="1">
      <c r="A72" s="72" t="n">
        <v>71</v>
      </c>
      <c r="B72" s="73" t="n">
        <v>262313452</v>
      </c>
      <c r="C72" s="74" t="n">
        <v>46258</v>
      </c>
      <c r="D72" s="72" t="n">
        <v>80000131</v>
      </c>
      <c r="E72" s="73" t="inlineStr">
        <is>
          <t>Gardner Denver Ltd</t>
        </is>
      </c>
      <c r="F72" s="74" t="n">
        <v>46314</v>
      </c>
      <c r="G72" s="73" t="inlineStr">
        <is>
          <t>Gebaseerd op Klantorders 260216404.</t>
        </is>
      </c>
      <c r="H72" s="80" t="n">
        <v>1579.03</v>
      </c>
      <c r="I72" s="72" t="inlineStr">
        <is>
          <t>Ministerie van Defensie FABK, Finan. Service Centrum</t>
        </is>
      </c>
      <c r="J72" s="72" t="inlineStr">
        <is>
          <t>van Wees, M.</t>
        </is>
      </c>
      <c r="K72" s="72" t="inlineStr">
        <is>
          <t>Open</t>
        </is>
      </c>
      <c r="L72" s="72" t="inlineStr">
        <is>
          <t>van Wees, M.</t>
        </is>
      </c>
      <c r="M72" s="81" t="n"/>
      <c r="N72" s="72" t="inlineStr">
        <is>
          <t>Y</t>
        </is>
      </c>
    </row>
    <row r="73" ht="36" customHeight="1">
      <c r="A73" s="76" t="n">
        <v>72</v>
      </c>
      <c r="B73" s="77" t="n">
        <v>262313461</v>
      </c>
      <c r="C73" s="78" t="n">
        <v>46258</v>
      </c>
      <c r="D73" s="76" t="n">
        <v>80000131</v>
      </c>
      <c r="E73" s="77" t="inlineStr">
        <is>
          <t>Gardner Denver Ltd</t>
        </is>
      </c>
      <c r="F73" s="78" t="n">
        <v>46301</v>
      </c>
      <c r="G73" s="77" t="inlineStr">
        <is>
          <t>Gebaseerd op Klantorders 260216442.</t>
        </is>
      </c>
      <c r="H73" s="82" t="n">
        <v>4289.2</v>
      </c>
      <c r="I73" s="76" t="inlineStr">
        <is>
          <t>Ministerie van Defensie FABK, Finan. Service Centrum</t>
        </is>
      </c>
      <c r="J73" s="76" t="inlineStr">
        <is>
          <t>van Wees, M.</t>
        </is>
      </c>
      <c r="K73" s="76" t="inlineStr">
        <is>
          <t>Afgesloten</t>
        </is>
      </c>
      <c r="L73" s="76" t="inlineStr">
        <is>
          <t>van Wees, M.</t>
        </is>
      </c>
      <c r="M73" s="83" t="n"/>
      <c r="N73" s="76" t="inlineStr">
        <is>
          <t>Y</t>
        </is>
      </c>
    </row>
    <row r="74" ht="36" customHeight="1">
      <c r="A74" s="72" t="n">
        <v>73</v>
      </c>
      <c r="B74" s="73" t="n">
        <v>262313426</v>
      </c>
      <c r="C74" s="74" t="n">
        <v>46255</v>
      </c>
      <c r="D74" s="72" t="n">
        <v>80000328</v>
      </c>
      <c r="E74" s="73" t="inlineStr">
        <is>
          <t>Gardner Denver Ltd</t>
        </is>
      </c>
      <c r="F74" s="74" t="n">
        <v>46321</v>
      </c>
      <c r="G74" s="73" t="inlineStr">
        <is>
          <t>Gebaseerd op Klantorders 260216059.</t>
        </is>
      </c>
      <c r="H74" s="80" t="n">
        <v>323.28</v>
      </c>
      <c r="I74" s="72" t="inlineStr">
        <is>
          <t>Tenaz Energy Netherlands B.V.</t>
        </is>
      </c>
      <c r="J74" s="72" t="inlineStr">
        <is>
          <t>van Wees, M.</t>
        </is>
      </c>
      <c r="K74" s="72" t="inlineStr">
        <is>
          <t>Geannuleerd</t>
        </is>
      </c>
      <c r="L74" s="72" t="inlineStr">
        <is>
          <t>van Wees, M.</t>
        </is>
      </c>
      <c r="M74" s="81" t="n"/>
      <c r="N74" s="72" t="inlineStr">
        <is>
          <t>Y</t>
        </is>
      </c>
    </row>
    <row r="75" ht="36" customHeight="1">
      <c r="A75" s="76" t="n">
        <v>74</v>
      </c>
      <c r="B75" s="77" t="n">
        <v>262313425</v>
      </c>
      <c r="C75" s="78" t="n">
        <v>46255</v>
      </c>
      <c r="D75" s="76" t="n">
        <v>80000328</v>
      </c>
      <c r="E75" s="77" t="inlineStr">
        <is>
          <t>Gardner Denver Ltd</t>
        </is>
      </c>
      <c r="F75" s="78" t="n">
        <v>46321</v>
      </c>
      <c r="G75" s="77" t="inlineStr">
        <is>
          <t>Gebaseerd op Klantorders 260216059.</t>
        </is>
      </c>
      <c r="H75" s="82" t="n">
        <v>323.28</v>
      </c>
      <c r="I75" s="76" t="inlineStr">
        <is>
          <t>Tenaz Energy Netherlands B.V.</t>
        </is>
      </c>
      <c r="J75" s="76" t="inlineStr">
        <is>
          <t>van Wees, M.</t>
        </is>
      </c>
      <c r="K75" s="76" t="inlineStr">
        <is>
          <t>Open</t>
        </is>
      </c>
      <c r="L75" s="76" t="inlineStr">
        <is>
          <t>van Wees, M.</t>
        </is>
      </c>
      <c r="M75" s="83" t="n"/>
      <c r="N75" s="76" t="inlineStr">
        <is>
          <t>Y</t>
        </is>
      </c>
    </row>
    <row r="76" ht="36" customHeight="1">
      <c r="A76" s="72" t="n">
        <v>75</v>
      </c>
      <c r="B76" s="73" t="n">
        <v>262313417</v>
      </c>
      <c r="C76" s="74" t="n">
        <v>46255</v>
      </c>
      <c r="D76" s="72" t="n">
        <v>85100515</v>
      </c>
      <c r="E76" s="73" t="inlineStr">
        <is>
          <t>Atlas Copco Airpower NV</t>
        </is>
      </c>
      <c r="F76" s="74" t="n">
        <v>46258</v>
      </c>
      <c r="G76" s="73" t="inlineStr">
        <is>
          <t>Gebaseerd op Klantorders 260213802.</t>
        </is>
      </c>
      <c r="H76" s="80" t="n">
        <v>1020.48</v>
      </c>
      <c r="I76" s="72" t="inlineStr">
        <is>
          <t>Cargill Bioindustrial B.V.</t>
        </is>
      </c>
      <c r="J76" s="72" t="inlineStr">
        <is>
          <t>Hudepohl W.</t>
        </is>
      </c>
      <c r="K76" s="72" t="inlineStr">
        <is>
          <t>Afgesloten</t>
        </is>
      </c>
      <c r="L76" s="72" t="inlineStr">
        <is>
          <t>van Wees, M.</t>
        </is>
      </c>
      <c r="M76" s="81" t="n">
        <v>46255.40208333333</v>
      </c>
      <c r="N76" s="72" t="inlineStr">
        <is>
          <t>Y</t>
        </is>
      </c>
    </row>
    <row r="77" ht="36" customHeight="1">
      <c r="A77" s="76" t="n">
        <v>76</v>
      </c>
      <c r="B77" s="77" t="n">
        <v>262313399</v>
      </c>
      <c r="C77" s="78" t="n">
        <v>46254</v>
      </c>
      <c r="D77" s="76" t="n">
        <v>80000430</v>
      </c>
      <c r="E77" s="77" t="inlineStr">
        <is>
          <t>Mehrer Compression GmbH</t>
        </is>
      </c>
      <c r="F77" s="78" t="n">
        <v>46265</v>
      </c>
      <c r="G77" s="77" t="inlineStr">
        <is>
          <t>Gebaseerd op Klantorders 260216264.</t>
        </is>
      </c>
      <c r="H77" s="82" t="n">
        <v>1018.26</v>
      </c>
      <c r="I77" s="76" t="inlineStr">
        <is>
          <t>Ebert HERA B.V.</t>
        </is>
      </c>
      <c r="J77" s="76" t="inlineStr">
        <is>
          <t>van Wees, M.</t>
        </is>
      </c>
      <c r="K77" s="76" t="inlineStr">
        <is>
          <t>Afgesloten</t>
        </is>
      </c>
      <c r="L77" s="76" t="inlineStr">
        <is>
          <t>van Wees, M.</t>
        </is>
      </c>
      <c r="M77" s="83" t="n"/>
      <c r="N77" s="76" t="inlineStr">
        <is>
          <t>Y</t>
        </is>
      </c>
    </row>
    <row r="78" ht="36" customHeight="1">
      <c r="A78" s="72" t="n">
        <v>77</v>
      </c>
      <c r="B78" s="73" t="n">
        <v>262313395</v>
      </c>
      <c r="C78" s="74" t="n">
        <v>46254</v>
      </c>
      <c r="D78" s="72" t="n">
        <v>85100468</v>
      </c>
      <c r="E78" s="73" t="inlineStr">
        <is>
          <t>Edmac Europe NV</t>
        </is>
      </c>
      <c r="F78" s="74" t="n">
        <v>46346</v>
      </c>
      <c r="G78" s="73" t="inlineStr">
        <is>
          <t>Gebaseerd op Klantorders 260216240.</t>
        </is>
      </c>
      <c r="H78" s="80" t="n">
        <v>220.11</v>
      </c>
      <c r="I78" s="72" t="inlineStr">
        <is>
          <t>Eni Energy Netherlands B.V.</t>
        </is>
      </c>
      <c r="J78" s="72" t="inlineStr">
        <is>
          <t>van Wees, M.</t>
        </is>
      </c>
      <c r="K78" s="72" t="inlineStr">
        <is>
          <t>Open</t>
        </is>
      </c>
      <c r="L78" s="72" t="inlineStr">
        <is>
          <t>van Wees, M.</t>
        </is>
      </c>
      <c r="M78" s="81" t="n">
        <v>46276.48402777778</v>
      </c>
      <c r="N78" s="72" t="inlineStr">
        <is>
          <t>Y</t>
        </is>
      </c>
    </row>
    <row r="79" ht="36" customHeight="1">
      <c r="A79" s="76" t="n">
        <v>78</v>
      </c>
      <c r="B79" s="77" t="n">
        <v>262313407</v>
      </c>
      <c r="C79" s="78" t="n">
        <v>46254</v>
      </c>
      <c r="D79" s="76" t="n">
        <v>85100515</v>
      </c>
      <c r="E79" s="77" t="inlineStr">
        <is>
          <t>Atlas Copco Airpower NV</t>
        </is>
      </c>
      <c r="F79" s="78" t="n">
        <v>46267</v>
      </c>
      <c r="G79" s="77" t="inlineStr">
        <is>
          <t>Gebaseerd op Klantorders 260216268.</t>
        </is>
      </c>
      <c r="H79" s="82" t="n">
        <v>4325.38</v>
      </c>
      <c r="I79" s="76" t="inlineStr">
        <is>
          <t>N.V. HVC</t>
        </is>
      </c>
      <c r="J79" s="76" t="inlineStr">
        <is>
          <t>-Geen verkoopmedewerker/koper-</t>
        </is>
      </c>
      <c r="K79" s="76" t="inlineStr">
        <is>
          <t>Afgesloten</t>
        </is>
      </c>
      <c r="L79" s="76" t="inlineStr">
        <is>
          <t>van Wees, M.</t>
        </is>
      </c>
      <c r="M79" s="83" t="n">
        <v>46254.50972222222</v>
      </c>
      <c r="N79" s="76" t="inlineStr">
        <is>
          <t>Y</t>
        </is>
      </c>
    </row>
    <row r="80" ht="36" customHeight="1">
      <c r="A80" s="72" t="n">
        <v>79</v>
      </c>
      <c r="B80" s="73" t="n">
        <v>262313382</v>
      </c>
      <c r="C80" s="74" t="n">
        <v>46253</v>
      </c>
      <c r="D80" s="72" t="n">
        <v>80000490</v>
      </c>
      <c r="E80" s="73" t="inlineStr">
        <is>
          <t>Parker Hannifin B.V.</t>
        </is>
      </c>
      <c r="F80" s="74" t="n">
        <v>46269</v>
      </c>
      <c r="G80" s="73" t="inlineStr">
        <is>
          <t>Gebaseerd op Klantorders 260216200.</t>
        </is>
      </c>
      <c r="H80" s="80" t="n">
        <v>1207.94</v>
      </c>
      <c r="I80" s="72" t="inlineStr">
        <is>
          <t>Eni Energy Netherlands B.V.</t>
        </is>
      </c>
      <c r="J80" s="72" t="inlineStr">
        <is>
          <t>van Wees, M.</t>
        </is>
      </c>
      <c r="K80" s="72" t="inlineStr">
        <is>
          <t>Afgesloten</t>
        </is>
      </c>
      <c r="L80" s="72" t="inlineStr">
        <is>
          <t>van Wees, M.</t>
        </is>
      </c>
      <c r="M80" s="81" t="n"/>
      <c r="N80" s="72" t="inlineStr">
        <is>
          <t>Y</t>
        </is>
      </c>
    </row>
    <row r="81" ht="36" customHeight="1">
      <c r="A81" s="76" t="n">
        <v>80</v>
      </c>
      <c r="B81" s="77" t="n">
        <v>262313348</v>
      </c>
      <c r="C81" s="78" t="n">
        <v>46248</v>
      </c>
      <c r="D81" s="76" t="n">
        <v>85100538</v>
      </c>
      <c r="E81" s="77" t="inlineStr">
        <is>
          <t>Eco International S.r.l.</t>
        </is>
      </c>
      <c r="F81" s="78" t="n">
        <v>46282</v>
      </c>
      <c r="G81" s="77" t="inlineStr">
        <is>
          <t>Gebaseerd op Klantorders 260216157.</t>
        </is>
      </c>
      <c r="H81" s="82" t="n">
        <v>3632</v>
      </c>
      <c r="I81" s="76" t="inlineStr">
        <is>
          <t>Ardagh Glass Moerdijk B.V.</t>
        </is>
      </c>
      <c r="J81" s="76" t="inlineStr">
        <is>
          <t>van Wees, M.</t>
        </is>
      </c>
      <c r="K81" s="76" t="inlineStr">
        <is>
          <t>Afgesloten</t>
        </is>
      </c>
      <c r="L81" s="76" t="inlineStr">
        <is>
          <t>van Wees, M.</t>
        </is>
      </c>
      <c r="M81" s="83" t="n"/>
      <c r="N81" s="76" t="inlineStr">
        <is>
          <t>Y</t>
        </is>
      </c>
    </row>
    <row r="82" ht="36" customHeight="1">
      <c r="A82" s="72" t="n">
        <v>81</v>
      </c>
      <c r="B82" s="73" t="n">
        <v>262313343</v>
      </c>
      <c r="C82" s="74" t="n">
        <v>46248</v>
      </c>
      <c r="D82" s="72" t="n">
        <v>85100515</v>
      </c>
      <c r="E82" s="73" t="inlineStr">
        <is>
          <t>Atlas Copco Airpower NV</t>
        </is>
      </c>
      <c r="F82" s="74" t="n">
        <v>46235</v>
      </c>
      <c r="G82" s="73" t="inlineStr">
        <is>
          <t>Gebaseerd op Klantorders 260215793.</t>
        </is>
      </c>
      <c r="H82" s="80" t="n">
        <v>10.01</v>
      </c>
      <c r="I82" s="72" t="inlineStr">
        <is>
          <t>Veolia Industriediensten B.V.</t>
        </is>
      </c>
      <c r="J82" s="72" t="inlineStr">
        <is>
          <t>Stuiver R.</t>
        </is>
      </c>
      <c r="K82" s="72" t="inlineStr">
        <is>
          <t>Afgesloten</t>
        </is>
      </c>
      <c r="L82" s="72" t="inlineStr">
        <is>
          <t>van Wees, M.</t>
        </is>
      </c>
      <c r="M82" s="81" t="n">
        <v>46248.42152777778</v>
      </c>
      <c r="N82" s="72" t="inlineStr">
        <is>
          <t>Y</t>
        </is>
      </c>
    </row>
    <row r="83" ht="36" customHeight="1">
      <c r="A83" s="76" t="n">
        <v>82</v>
      </c>
      <c r="B83" s="77" t="n">
        <v>262313325</v>
      </c>
      <c r="C83" s="78" t="n">
        <v>46247</v>
      </c>
      <c r="D83" s="76" t="n">
        <v>85100515</v>
      </c>
      <c r="E83" s="77" t="inlineStr">
        <is>
          <t>Atlas Copco Airpower NV</t>
        </is>
      </c>
      <c r="F83" s="78" t="n">
        <v>46246</v>
      </c>
      <c r="G83" s="77" t="inlineStr">
        <is>
          <t>Gebaseerd op Klantorders 260216106.</t>
        </is>
      </c>
      <c r="H83" s="82" t="n">
        <v>138.46</v>
      </c>
      <c r="I83" s="76" t="inlineStr">
        <is>
          <t>Elis Nederland B.V.</t>
        </is>
      </c>
      <c r="J83" s="76" t="inlineStr">
        <is>
          <t>Vrieling R.H.</t>
        </is>
      </c>
      <c r="K83" s="76" t="inlineStr">
        <is>
          <t>Afgesloten</t>
        </is>
      </c>
      <c r="L83" s="76" t="inlineStr">
        <is>
          <t>van Wees, M.</t>
        </is>
      </c>
      <c r="M83" s="83" t="n">
        <v>46247.58888888889</v>
      </c>
      <c r="N83" s="76" t="inlineStr">
        <is>
          <t>Y</t>
        </is>
      </c>
    </row>
    <row r="84" ht="36" customHeight="1">
      <c r="A84" s="72" t="n">
        <v>83</v>
      </c>
      <c r="B84" s="73" t="n">
        <v>262313331</v>
      </c>
      <c r="C84" s="74" t="n">
        <v>46247</v>
      </c>
      <c r="D84" s="72" t="n">
        <v>85100515</v>
      </c>
      <c r="E84" s="73" t="inlineStr">
        <is>
          <t>Atlas Copco Airpower NV</t>
        </is>
      </c>
      <c r="F84" s="74" t="n">
        <v>46246</v>
      </c>
      <c r="G84" s="73" t="n"/>
      <c r="H84" s="80" t="n">
        <v>221.57</v>
      </c>
      <c r="I84" s="72" t="inlineStr">
        <is>
          <t>MTH machine techniek</t>
        </is>
      </c>
      <c r="J84" s="72" t="inlineStr">
        <is>
          <t>Stuiver R.</t>
        </is>
      </c>
      <c r="K84" s="72" t="inlineStr">
        <is>
          <t>Afgesloten</t>
        </is>
      </c>
      <c r="L84" s="72" t="inlineStr">
        <is>
          <t>van Wees, M.</t>
        </is>
      </c>
      <c r="M84" s="81" t="n">
        <v>46247.57847222222</v>
      </c>
      <c r="N84" s="72" t="inlineStr">
        <is>
          <t>Y</t>
        </is>
      </c>
    </row>
    <row r="85" ht="36" customHeight="1">
      <c r="A85" s="76" t="n">
        <v>84</v>
      </c>
      <c r="B85" s="77" t="n">
        <v>262313299</v>
      </c>
      <c r="C85" s="78" t="n">
        <v>46246</v>
      </c>
      <c r="D85" s="76" t="n">
        <v>85100515</v>
      </c>
      <c r="E85" s="77" t="inlineStr">
        <is>
          <t>Atlas Copco Airpower NV</t>
        </is>
      </c>
      <c r="F85" s="78" t="n">
        <v>46251</v>
      </c>
      <c r="G85" s="77" t="inlineStr">
        <is>
          <t>Gebaseerd op Klantorders 260213802.</t>
        </is>
      </c>
      <c r="H85" s="82" t="n">
        <v>14892.87</v>
      </c>
      <c r="I85" s="76" t="inlineStr">
        <is>
          <t>Cargill Bioindustrial B.V.</t>
        </is>
      </c>
      <c r="J85" s="76" t="inlineStr">
        <is>
          <t>Hudepohl W.</t>
        </is>
      </c>
      <c r="K85" s="76" t="inlineStr">
        <is>
          <t>Afgesloten</t>
        </is>
      </c>
      <c r="L85" s="76" t="inlineStr">
        <is>
          <t>van Wees, M.</t>
        </is>
      </c>
      <c r="M85" s="83" t="n">
        <v>46246.5</v>
      </c>
      <c r="N85" s="76" t="inlineStr">
        <is>
          <t>Y</t>
        </is>
      </c>
    </row>
    <row r="86" ht="36" customHeight="1">
      <c r="A86" s="72" t="n">
        <v>85</v>
      </c>
      <c r="B86" s="73" t="n">
        <v>262313297</v>
      </c>
      <c r="C86" s="74" t="n">
        <v>46246</v>
      </c>
      <c r="D86" s="72" t="n">
        <v>85100468</v>
      </c>
      <c r="E86" s="73" t="inlineStr">
        <is>
          <t>Edmac Europe NV</t>
        </is>
      </c>
      <c r="F86" s="74" t="n">
        <v>46246</v>
      </c>
      <c r="G86" s="73" t="inlineStr">
        <is>
          <t>Gebaseerd op Klantorders 260216103.</t>
        </is>
      </c>
      <c r="H86" s="80" t="n">
        <v>835.46</v>
      </c>
      <c r="I86" s="72" t="inlineStr">
        <is>
          <t>RET N.V.</t>
        </is>
      </c>
      <c r="J86" s="72" t="inlineStr">
        <is>
          <t>van Wees, M.</t>
        </is>
      </c>
      <c r="K86" s="72" t="inlineStr">
        <is>
          <t>Afgesloten</t>
        </is>
      </c>
      <c r="L86" s="72" t="inlineStr">
        <is>
          <t>van Wees, M.</t>
        </is>
      </c>
      <c r="M86" s="81" t="n">
        <v>46246.47013888889</v>
      </c>
      <c r="N86" s="72" t="inlineStr">
        <is>
          <t>Y</t>
        </is>
      </c>
    </row>
    <row r="87" ht="36" customHeight="1">
      <c r="A87" s="76" t="n">
        <v>86</v>
      </c>
      <c r="B87" s="77" t="n">
        <v>262313280</v>
      </c>
      <c r="C87" s="78" t="n">
        <v>46245</v>
      </c>
      <c r="D87" s="76" t="n">
        <v>85100468</v>
      </c>
      <c r="E87" s="77" t="inlineStr">
        <is>
          <t>Edmac Europe NV</t>
        </is>
      </c>
      <c r="F87" s="78" t="n">
        <v>46317</v>
      </c>
      <c r="G87" s="77" t="inlineStr">
        <is>
          <t>Gebaseerd op Klantorders 260216059.</t>
        </is>
      </c>
      <c r="H87" s="82" t="n">
        <v>831.3</v>
      </c>
      <c r="I87" s="76" t="inlineStr">
        <is>
          <t>Tenaz Energy Netherlands B.V.</t>
        </is>
      </c>
      <c r="J87" s="76" t="inlineStr">
        <is>
          <t>van Wees, M.</t>
        </is>
      </c>
      <c r="K87" s="76" t="inlineStr">
        <is>
          <t>Open</t>
        </is>
      </c>
      <c r="L87" s="76" t="inlineStr">
        <is>
          <t>van Wees, M.</t>
        </is>
      </c>
      <c r="M87" s="83" t="n">
        <v>46245.40486111111</v>
      </c>
      <c r="N87" s="76" t="inlineStr">
        <is>
          <t>Y</t>
        </is>
      </c>
    </row>
    <row r="88" ht="36" customHeight="1">
      <c r="A88" s="72" t="n">
        <v>87</v>
      </c>
      <c r="B88" s="73" t="n">
        <v>262313289</v>
      </c>
      <c r="C88" s="74" t="n">
        <v>46245</v>
      </c>
      <c r="D88" s="72" t="n">
        <v>85100468</v>
      </c>
      <c r="E88" s="73" t="inlineStr">
        <is>
          <t>Edmac Europe NV</t>
        </is>
      </c>
      <c r="F88" s="74" t="n">
        <v>46248</v>
      </c>
      <c r="G88" s="73" t="inlineStr">
        <is>
          <t>Gebaseerd op Klantorders 260215955.</t>
        </is>
      </c>
      <c r="H88" s="80" t="n">
        <v>807.61</v>
      </c>
      <c r="I88" s="72" t="inlineStr">
        <is>
          <t>National Marine Suppliers B.V.</t>
        </is>
      </c>
      <c r="J88" s="72" t="inlineStr">
        <is>
          <t>van Wees, M.</t>
        </is>
      </c>
      <c r="K88" s="72" t="inlineStr">
        <is>
          <t>Afgesloten</t>
        </is>
      </c>
      <c r="L88" s="72" t="inlineStr">
        <is>
          <t>van Wees, M.</t>
        </is>
      </c>
      <c r="M88" s="81" t="n">
        <v>46245.60277777778</v>
      </c>
      <c r="N88" s="72" t="inlineStr">
        <is>
          <t>Y</t>
        </is>
      </c>
    </row>
    <row r="89" ht="36" customHeight="1">
      <c r="A89" s="76" t="n">
        <v>88</v>
      </c>
      <c r="B89" s="77" t="n">
        <v>262313275</v>
      </c>
      <c r="C89" s="78" t="n">
        <v>46244</v>
      </c>
      <c r="D89" s="76" t="n">
        <v>85100515</v>
      </c>
      <c r="E89" s="77" t="inlineStr">
        <is>
          <t>Atlas Copco Airpower NV</t>
        </is>
      </c>
      <c r="F89" s="78" t="n">
        <v>46246</v>
      </c>
      <c r="G89" s="77" t="inlineStr">
        <is>
          <t>Gebaseerd op Klantorders 260216052.</t>
        </is>
      </c>
      <c r="H89" s="82" t="n">
        <v>159.47</v>
      </c>
      <c r="I89" s="76" t="inlineStr">
        <is>
          <t>HBS Rail B.V.</t>
        </is>
      </c>
      <c r="J89" s="76" t="inlineStr">
        <is>
          <t>Hudepohl W.</t>
        </is>
      </c>
      <c r="K89" s="76" t="inlineStr">
        <is>
          <t>Afgesloten</t>
        </is>
      </c>
      <c r="L89" s="76" t="inlineStr">
        <is>
          <t>van Wees, M.</t>
        </is>
      </c>
      <c r="M89" s="83" t="n">
        <v>46244.58055555556</v>
      </c>
      <c r="N89" s="76" t="inlineStr">
        <is>
          <t>Y</t>
        </is>
      </c>
    </row>
    <row r="90" ht="36" customHeight="1">
      <c r="A90" s="72" t="n">
        <v>89</v>
      </c>
      <c r="B90" s="73" t="n">
        <v>262313277</v>
      </c>
      <c r="C90" s="74" t="n">
        <v>46244</v>
      </c>
      <c r="D90" s="72" t="n">
        <v>85100515</v>
      </c>
      <c r="E90" s="73" t="inlineStr">
        <is>
          <t>Atlas Copco Airpower NV</t>
        </is>
      </c>
      <c r="F90" s="74" t="n">
        <v>46246</v>
      </c>
      <c r="G90" s="73" t="inlineStr">
        <is>
          <t>niet geleverd doordat het afleveradres niet op de EDI was meegekomen</t>
        </is>
      </c>
      <c r="H90" s="80" t="n">
        <v>221.57</v>
      </c>
      <c r="I90" s="72" t="inlineStr">
        <is>
          <t>MTH machine techniek</t>
        </is>
      </c>
      <c r="J90" s="72" t="inlineStr">
        <is>
          <t>Stuiver R.</t>
        </is>
      </c>
      <c r="K90" s="72" t="inlineStr">
        <is>
          <t>Afgesloten</t>
        </is>
      </c>
      <c r="L90" s="72" t="inlineStr">
        <is>
          <t>van Wees, M.</t>
        </is>
      </c>
      <c r="M90" s="81" t="n">
        <v>46244.66111111111</v>
      </c>
      <c r="N90" s="72" t="inlineStr">
        <is>
          <t>Y</t>
        </is>
      </c>
    </row>
    <row r="91" ht="36" customHeight="1">
      <c r="A91" s="76" t="n">
        <v>90</v>
      </c>
      <c r="B91" s="77" t="n">
        <v>262313266</v>
      </c>
      <c r="C91" s="78" t="n">
        <v>46244</v>
      </c>
      <c r="D91" s="76" t="n">
        <v>85100468</v>
      </c>
      <c r="E91" s="77" t="inlineStr">
        <is>
          <t>Edmac Europe NV</t>
        </is>
      </c>
      <c r="F91" s="78" t="n">
        <v>46310</v>
      </c>
      <c r="G91" s="77" t="inlineStr">
        <is>
          <t>Gebaseerd op Klantorders 260216059.</t>
        </is>
      </c>
      <c r="H91" s="82" t="n">
        <v>967.54</v>
      </c>
      <c r="I91" s="76" t="inlineStr">
        <is>
          <t>Tenaz Energy Netherlands B.V.</t>
        </is>
      </c>
      <c r="J91" s="76" t="inlineStr">
        <is>
          <t>van Wees, M.</t>
        </is>
      </c>
      <c r="K91" s="76" t="inlineStr">
        <is>
          <t>Open</t>
        </is>
      </c>
      <c r="L91" s="76" t="inlineStr">
        <is>
          <t>van Wees, M.</t>
        </is>
      </c>
      <c r="M91" s="83" t="n">
        <v>46244.47013888889</v>
      </c>
      <c r="N91" s="76" t="inlineStr">
        <is>
          <t>Y</t>
        </is>
      </c>
    </row>
    <row r="92" ht="36" customHeight="1">
      <c r="A92" s="72" t="n">
        <v>91</v>
      </c>
      <c r="B92" s="73" t="n">
        <v>262313274</v>
      </c>
      <c r="C92" s="74" t="n">
        <v>46244</v>
      </c>
      <c r="D92" s="72" t="n">
        <v>81001135</v>
      </c>
      <c r="E92" s="73" t="inlineStr">
        <is>
          <t>Itsme BV</t>
        </is>
      </c>
      <c r="F92" s="74" t="n">
        <v>46245</v>
      </c>
      <c r="G92" s="73" t="inlineStr">
        <is>
          <t>Gebaseerd op Klantorders 260215000.</t>
        </is>
      </c>
      <c r="H92" s="80" t="n">
        <v>18.22</v>
      </c>
      <c r="I92" s="72" t="inlineStr">
        <is>
          <t>HKS Scrap Metals B.V.</t>
        </is>
      </c>
      <c r="J92" s="72" t="inlineStr">
        <is>
          <t>Kempe A.</t>
        </is>
      </c>
      <c r="K92" s="72" t="inlineStr">
        <is>
          <t>Afgesloten</t>
        </is>
      </c>
      <c r="L92" s="72" t="inlineStr">
        <is>
          <t>van Wees, M.</t>
        </is>
      </c>
      <c r="M92" s="81" t="n"/>
      <c r="N92" s="72" t="inlineStr">
        <is>
          <t>Y</t>
        </is>
      </c>
    </row>
    <row r="93" ht="36" customHeight="1">
      <c r="A93" s="76" t="n">
        <v>92</v>
      </c>
      <c r="B93" s="77" t="n">
        <v>262313183</v>
      </c>
      <c r="C93" s="78" t="n">
        <v>46238</v>
      </c>
      <c r="D93" s="76" t="n">
        <v>85100515</v>
      </c>
      <c r="E93" s="77" t="inlineStr">
        <is>
          <t>Atlas Copco Airpower NV</t>
        </is>
      </c>
      <c r="F93" s="78" t="n">
        <v>46239</v>
      </c>
      <c r="G93" s="77" t="inlineStr">
        <is>
          <t>Gebaseerd op Klantorders 260215793.</t>
        </is>
      </c>
      <c r="H93" s="82" t="n">
        <v>741.24</v>
      </c>
      <c r="I93" s="76" t="inlineStr">
        <is>
          <t>Veolia Industriediensten B.V.</t>
        </is>
      </c>
      <c r="J93" s="76" t="inlineStr">
        <is>
          <t>Stuiver R.</t>
        </is>
      </c>
      <c r="K93" s="76" t="inlineStr">
        <is>
          <t>Afgesloten</t>
        </is>
      </c>
      <c r="L93" s="76" t="inlineStr">
        <is>
          <t>van Wees, M.</t>
        </is>
      </c>
      <c r="M93" s="83" t="n">
        <v>46238.40138888889</v>
      </c>
      <c r="N93" s="76" t="inlineStr">
        <is>
          <t>Y</t>
        </is>
      </c>
    </row>
    <row r="94" ht="36" customHeight="1">
      <c r="A94" s="72" t="n">
        <v>93</v>
      </c>
      <c r="B94" s="73" t="n">
        <v>262313201</v>
      </c>
      <c r="C94" s="74" t="n">
        <v>46238</v>
      </c>
      <c r="D94" s="72" t="n">
        <v>85100468</v>
      </c>
      <c r="E94" s="73" t="inlineStr">
        <is>
          <t>Edmac Europe NV</t>
        </is>
      </c>
      <c r="F94" s="74" t="n">
        <v>46267</v>
      </c>
      <c r="G94" s="73" t="inlineStr">
        <is>
          <t>Gebaseerd op Klantorders 260215966.</t>
        </is>
      </c>
      <c r="H94" s="80" t="n">
        <v>4619.7</v>
      </c>
      <c r="I94" s="72" t="inlineStr">
        <is>
          <t>Intervet International B.V.</t>
        </is>
      </c>
      <c r="J94" s="72" t="inlineStr">
        <is>
          <t>-Geen verkoopmedewerker/koper-</t>
        </is>
      </c>
      <c r="K94" s="72" t="inlineStr">
        <is>
          <t>Afgesloten</t>
        </is>
      </c>
      <c r="L94" s="72" t="inlineStr">
        <is>
          <t>van Wees, M.</t>
        </is>
      </c>
      <c r="M94" s="81" t="n">
        <v>46247.42916666667</v>
      </c>
      <c r="N94" s="72" t="inlineStr">
        <is>
          <t>Y</t>
        </is>
      </c>
    </row>
    <row r="95" ht="36" customHeight="1">
      <c r="A95" s="76" t="n">
        <v>94</v>
      </c>
      <c r="B95" s="77" t="n">
        <v>262313158</v>
      </c>
      <c r="C95" s="78" t="n">
        <v>46234</v>
      </c>
      <c r="D95" s="76" t="n">
        <v>85100515</v>
      </c>
      <c r="E95" s="77" t="inlineStr">
        <is>
          <t>Atlas Copco Airpower NV</t>
        </is>
      </c>
      <c r="F95" s="78" t="n">
        <v>46205</v>
      </c>
      <c r="G95" s="77" t="inlineStr">
        <is>
          <t>Gebaseerd op Klantorders 260214962.</t>
        </is>
      </c>
      <c r="H95" s="82" t="n">
        <v>891.48</v>
      </c>
      <c r="I95" s="76" t="inlineStr">
        <is>
          <t>Geveke Persluchttechniek</t>
        </is>
      </c>
      <c r="J95" s="76" t="inlineStr">
        <is>
          <t>Buissink E.J.</t>
        </is>
      </c>
      <c r="K95" s="76" t="inlineStr">
        <is>
          <t>Afgesloten</t>
        </is>
      </c>
      <c r="L95" s="76" t="inlineStr">
        <is>
          <t>van Wees, M.</t>
        </is>
      </c>
      <c r="M95" s="83" t="n">
        <v>46234.43194444444</v>
      </c>
      <c r="N95" s="76" t="inlineStr">
        <is>
          <t>Y</t>
        </is>
      </c>
    </row>
    <row r="96" ht="36" customHeight="1">
      <c r="A96" s="72" t="n">
        <v>95</v>
      </c>
      <c r="B96" s="73" t="n">
        <v>262313154</v>
      </c>
      <c r="C96" s="74" t="n">
        <v>46234</v>
      </c>
      <c r="D96" s="72" t="n">
        <v>85100468</v>
      </c>
      <c r="E96" s="73" t="inlineStr">
        <is>
          <t>Edmac Europe NV</t>
        </is>
      </c>
      <c r="F96" s="74" t="n">
        <v>46262</v>
      </c>
      <c r="G96" s="73" t="inlineStr">
        <is>
          <t>Gebaseerd op Klantorders 260215768.</t>
        </is>
      </c>
      <c r="H96" s="80" t="n">
        <v>741.24</v>
      </c>
      <c r="I96" s="72" t="inlineStr">
        <is>
          <t>AEB Exploitatie B.V.</t>
        </is>
      </c>
      <c r="J96" s="72" t="inlineStr">
        <is>
          <t>van Wees, M.</t>
        </is>
      </c>
      <c r="K96" s="72" t="inlineStr">
        <is>
          <t>Afgesloten</t>
        </is>
      </c>
      <c r="L96" s="72" t="inlineStr">
        <is>
          <t>van Wees, M.</t>
        </is>
      </c>
      <c r="M96" s="81" t="n">
        <v>46261.52083333334</v>
      </c>
      <c r="N96" s="72" t="inlineStr">
        <is>
          <t>Y</t>
        </is>
      </c>
    </row>
    <row r="97" ht="36" customHeight="1">
      <c r="A97" s="76" t="n">
        <v>96</v>
      </c>
      <c r="B97" s="77" t="n">
        <v>262312995</v>
      </c>
      <c r="C97" s="78" t="n">
        <v>46233</v>
      </c>
      <c r="D97" s="76" t="n">
        <v>80000490</v>
      </c>
      <c r="E97" s="77" t="inlineStr">
        <is>
          <t>Parker Hannifin B.V.</t>
        </is>
      </c>
      <c r="F97" s="78" t="n">
        <v>46267</v>
      </c>
      <c r="G97" s="77" t="inlineStr">
        <is>
          <t>Gebaseerd op Klantorders 260215468.</t>
        </is>
      </c>
      <c r="H97" s="82" t="n">
        <v>181.14</v>
      </c>
      <c r="I97" s="76" t="inlineStr">
        <is>
          <t>NAM B.V. T.a.v. Accounts Payable</t>
        </is>
      </c>
      <c r="J97" s="76" t="inlineStr">
        <is>
          <t>van Wees, M.</t>
        </is>
      </c>
      <c r="K97" s="76" t="inlineStr">
        <is>
          <t>Afgesloten</t>
        </is>
      </c>
      <c r="L97" s="76" t="inlineStr">
        <is>
          <t>van Wees, M.</t>
        </is>
      </c>
      <c r="M97" s="83" t="n"/>
      <c r="N97" s="76" t="inlineStr">
        <is>
          <t>Y</t>
        </is>
      </c>
    </row>
    <row r="98" ht="36" customHeight="1">
      <c r="A98" s="72" t="n">
        <v>97</v>
      </c>
      <c r="B98" s="73" t="n">
        <v>262313113</v>
      </c>
      <c r="C98" s="74" t="n">
        <v>46232</v>
      </c>
      <c r="D98" s="72" t="n">
        <v>80000490</v>
      </c>
      <c r="E98" s="73" t="inlineStr">
        <is>
          <t>Parker Hannifin B.V.</t>
        </is>
      </c>
      <c r="F98" s="74" t="n">
        <v>46232</v>
      </c>
      <c r="G98" s="73" t="inlineStr">
        <is>
          <t>Gebaseerd op Klantorders 260215726.</t>
        </is>
      </c>
      <c r="H98" s="80" t="n">
        <v>253.01</v>
      </c>
      <c r="I98" s="72" t="inlineStr">
        <is>
          <t>Industriele Diensten Heino BV</t>
        </is>
      </c>
      <c r="J98" s="72" t="inlineStr">
        <is>
          <t>Stuiver R.</t>
        </is>
      </c>
      <c r="K98" s="72" t="inlineStr">
        <is>
          <t>Afgesloten</t>
        </is>
      </c>
      <c r="L98" s="72" t="inlineStr">
        <is>
          <t>van Wees, M.</t>
        </is>
      </c>
      <c r="M98" s="81" t="n"/>
      <c r="N98" s="72" t="inlineStr">
        <is>
          <t>Y</t>
        </is>
      </c>
    </row>
    <row r="99" ht="36" customHeight="1">
      <c r="A99" s="76" t="n">
        <v>98</v>
      </c>
      <c r="B99" s="77" t="n">
        <v>262313103</v>
      </c>
      <c r="C99" s="78" t="n">
        <v>46232</v>
      </c>
      <c r="D99" s="76" t="n">
        <v>80000430</v>
      </c>
      <c r="E99" s="77" t="inlineStr">
        <is>
          <t>Mehrer Compression GmbH</t>
        </is>
      </c>
      <c r="F99" s="78" t="n">
        <v>46253</v>
      </c>
      <c r="G99" s="77" t="inlineStr">
        <is>
          <t>Gebaseerd op Klantorders 260215693.</t>
        </is>
      </c>
      <c r="H99" s="82" t="n">
        <v>350.24</v>
      </c>
      <c r="I99" s="76" t="inlineStr">
        <is>
          <t>N.V. HVC</t>
        </is>
      </c>
      <c r="J99" s="76" t="inlineStr">
        <is>
          <t>Hudepohl W.</t>
        </is>
      </c>
      <c r="K99" s="76" t="inlineStr">
        <is>
          <t>Afgesloten</t>
        </is>
      </c>
      <c r="L99" s="76" t="inlineStr">
        <is>
          <t>van Wees, M.</t>
        </is>
      </c>
      <c r="M99" s="83" t="n"/>
      <c r="N99" s="76" t="inlineStr">
        <is>
          <t>Y</t>
        </is>
      </c>
    </row>
    <row r="100" ht="36" customHeight="1">
      <c r="A100" s="72" t="n">
        <v>99</v>
      </c>
      <c r="B100" s="73" t="n">
        <v>262313080</v>
      </c>
      <c r="C100" s="74" t="n">
        <v>46230</v>
      </c>
      <c r="D100" s="72" t="n">
        <v>80000490</v>
      </c>
      <c r="E100" s="73" t="inlineStr">
        <is>
          <t>Parker Hannifin B.V.</t>
        </is>
      </c>
      <c r="F100" s="74" t="n">
        <v>46239</v>
      </c>
      <c r="G100" s="73" t="inlineStr">
        <is>
          <t>Gebaseerd op Klantorders 260215663.</t>
        </is>
      </c>
      <c r="H100" s="80" t="n">
        <v>468.5</v>
      </c>
      <c r="I100" s="72" t="inlineStr">
        <is>
          <t>Hobrand B.V.</t>
        </is>
      </c>
      <c r="J100" s="72" t="inlineStr">
        <is>
          <t>van Wees, M.</t>
        </is>
      </c>
      <c r="K100" s="72" t="inlineStr">
        <is>
          <t>Afgesloten</t>
        </is>
      </c>
      <c r="L100" s="72" t="inlineStr">
        <is>
          <t>van Wees, M.</t>
        </is>
      </c>
      <c r="M100" s="81" t="n"/>
      <c r="N100" s="72" t="inlineStr">
        <is>
          <t>Y</t>
        </is>
      </c>
    </row>
    <row r="101" ht="36" customHeight="1">
      <c r="A101" s="76" t="n">
        <v>100</v>
      </c>
      <c r="B101" s="77" t="n">
        <v>262313069</v>
      </c>
      <c r="C101" s="78" t="n">
        <v>46230</v>
      </c>
      <c r="D101" s="76" t="n">
        <v>85100515</v>
      </c>
      <c r="E101" s="77" t="inlineStr">
        <is>
          <t>Atlas Copco Airpower NV</t>
        </is>
      </c>
      <c r="F101" s="78" t="n">
        <v>46230</v>
      </c>
      <c r="G101" s="77" t="inlineStr">
        <is>
          <t>Gebaseerd op Klantorders 260215001.</t>
        </is>
      </c>
      <c r="H101" s="82" t="n">
        <v>439.16</v>
      </c>
      <c r="I101" s="76" t="inlineStr">
        <is>
          <t>Van Beest B.V.</t>
        </is>
      </c>
      <c r="J101" s="76" t="inlineStr">
        <is>
          <t>Kempe A.</t>
        </is>
      </c>
      <c r="K101" s="76" t="inlineStr">
        <is>
          <t>Afgesloten</t>
        </is>
      </c>
      <c r="L101" s="76" t="inlineStr">
        <is>
          <t>van Wees, M.</t>
        </is>
      </c>
      <c r="M101" s="83" t="n">
        <v>46230.42430555556</v>
      </c>
      <c r="N101" s="76" t="inlineStr">
        <is>
          <t>Y</t>
        </is>
      </c>
    </row>
    <row r="102" ht="36" customHeight="1">
      <c r="A102" s="72" t="n">
        <v>101</v>
      </c>
      <c r="B102" s="73" t="n">
        <v>262313042</v>
      </c>
      <c r="C102" s="74" t="n">
        <v>46227</v>
      </c>
      <c r="D102" s="72" t="n">
        <v>80000621</v>
      </c>
      <c r="E102" s="73" t="inlineStr">
        <is>
          <t>Technische Unie B.V.</t>
        </is>
      </c>
      <c r="F102" s="74" t="n">
        <v>46230</v>
      </c>
      <c r="G102" s="73" t="inlineStr">
        <is>
          <t>Gebaseerd op Klantorders 260215608.</t>
        </is>
      </c>
      <c r="H102" s="80" t="n">
        <v>493.01</v>
      </c>
      <c r="I102" s="72" t="inlineStr">
        <is>
          <t>HKS Scrap Metals B.V.</t>
        </is>
      </c>
      <c r="J102" s="72" t="inlineStr">
        <is>
          <t>Hudepohl W.</t>
        </is>
      </c>
      <c r="K102" s="72" t="inlineStr">
        <is>
          <t>Afgesloten</t>
        </is>
      </c>
      <c r="L102" s="72" t="inlineStr">
        <is>
          <t>van Wees, M.</t>
        </is>
      </c>
      <c r="M102" s="81" t="n"/>
      <c r="N102" s="72" t="inlineStr">
        <is>
          <t>Y</t>
        </is>
      </c>
    </row>
    <row r="103" ht="36" customHeight="1">
      <c r="A103" s="76" t="n">
        <v>102</v>
      </c>
      <c r="B103" s="77" t="n">
        <v>262313048</v>
      </c>
      <c r="C103" s="78" t="n">
        <v>46227</v>
      </c>
      <c r="D103" s="76" t="n">
        <v>81002947</v>
      </c>
      <c r="E103" s="77" t="inlineStr">
        <is>
          <t>Snijder Filtertechniek B.V.</t>
        </is>
      </c>
      <c r="F103" s="78" t="n">
        <v>46296</v>
      </c>
      <c r="G103" s="77" t="inlineStr">
        <is>
          <t>Gebaseerd op Klantorders 260215613.</t>
        </is>
      </c>
      <c r="H103" s="82" t="n">
        <v>867.62</v>
      </c>
      <c r="I103" s="76" t="inlineStr">
        <is>
          <t>ESD-SIC B.V.</t>
        </is>
      </c>
      <c r="J103" s="76" t="inlineStr">
        <is>
          <t>van Wees, M.</t>
        </is>
      </c>
      <c r="K103" s="76" t="inlineStr">
        <is>
          <t>Afgesloten</t>
        </is>
      </c>
      <c r="L103" s="76" t="inlineStr">
        <is>
          <t>van Wees, M.</t>
        </is>
      </c>
      <c r="M103" s="83" t="n"/>
      <c r="N103" s="76" t="inlineStr">
        <is>
          <t>Y</t>
        </is>
      </c>
    </row>
    <row r="104" ht="36" customHeight="1">
      <c r="A104" s="72" t="n">
        <v>103</v>
      </c>
      <c r="B104" s="73" t="n">
        <v>262313037</v>
      </c>
      <c r="C104" s="74" t="n">
        <v>46226</v>
      </c>
      <c r="D104" s="72" t="n">
        <v>85002027</v>
      </c>
      <c r="E104" s="73" t="inlineStr">
        <is>
          <t>Friedrich Picard GmbH &amp; Co.KG</t>
        </is>
      </c>
      <c r="F104" s="74" t="n">
        <v>46226</v>
      </c>
      <c r="G104" s="73" t="inlineStr">
        <is>
          <t>Gebaseerd op Klantorders 260215595.</t>
        </is>
      </c>
      <c r="H104" s="80" t="n">
        <v>22.06</v>
      </c>
      <c r="I104" s="72" t="inlineStr">
        <is>
          <t>Grasdrogerij Hartog B.V.</t>
        </is>
      </c>
      <c r="J104" s="72" t="inlineStr">
        <is>
          <t>Hudepohl W.</t>
        </is>
      </c>
      <c r="K104" s="72" t="inlineStr">
        <is>
          <t>Afgesloten</t>
        </is>
      </c>
      <c r="L104" s="72" t="inlineStr">
        <is>
          <t>van Wees, M.</t>
        </is>
      </c>
      <c r="M104" s="81" t="n"/>
      <c r="N104" s="72" t="inlineStr">
        <is>
          <t>Y</t>
        </is>
      </c>
    </row>
    <row r="105" ht="36" customHeight="1">
      <c r="A105" s="76" t="n">
        <v>104</v>
      </c>
      <c r="B105" s="77" t="n">
        <v>262313038</v>
      </c>
      <c r="C105" s="78" t="n">
        <v>46226</v>
      </c>
      <c r="D105" s="76" t="n">
        <v>85100123</v>
      </c>
      <c r="E105" s="77" t="inlineStr">
        <is>
          <t>Dalgakiran Kompresor San. VE Tic.LTD</t>
        </is>
      </c>
      <c r="F105" s="78" t="n">
        <v>46258</v>
      </c>
      <c r="G105" s="77" t="inlineStr">
        <is>
          <t>Gebaseerd op Klantorders 260215595.</t>
        </is>
      </c>
      <c r="H105" s="82" t="n">
        <v>166.22</v>
      </c>
      <c r="I105" s="76" t="inlineStr">
        <is>
          <t>Grasdrogerij Hartog B.V.</t>
        </is>
      </c>
      <c r="J105" s="76" t="inlineStr">
        <is>
          <t>Hudepohl W.</t>
        </is>
      </c>
      <c r="K105" s="76" t="inlineStr">
        <is>
          <t>Afgesloten</t>
        </is>
      </c>
      <c r="L105" s="76" t="inlineStr">
        <is>
          <t>van Wees, M.</t>
        </is>
      </c>
      <c r="M105" s="83" t="n"/>
      <c r="N105" s="76" t="inlineStr">
        <is>
          <t>Y</t>
        </is>
      </c>
    </row>
    <row r="106" ht="36" customHeight="1">
      <c r="A106" s="72" t="n">
        <v>105</v>
      </c>
      <c r="B106" s="73" t="n">
        <v>262313014</v>
      </c>
      <c r="C106" s="74" t="n">
        <v>46225</v>
      </c>
      <c r="D106" s="72" t="n">
        <v>80000621</v>
      </c>
      <c r="E106" s="73" t="inlineStr">
        <is>
          <t>Technische Unie B.V.</t>
        </is>
      </c>
      <c r="F106" s="74" t="n">
        <v>46265</v>
      </c>
      <c r="G106" s="73" t="inlineStr">
        <is>
          <t>Gebaseerd op Klantorders 260215513.</t>
        </is>
      </c>
      <c r="H106" s="80" t="n">
        <v>202.6</v>
      </c>
      <c r="I106" s="72" t="inlineStr">
        <is>
          <t>NAM B.V. T.a.v. Accounts Payable</t>
        </is>
      </c>
      <c r="J106" s="72" t="inlineStr">
        <is>
          <t>van Wees, M.</t>
        </is>
      </c>
      <c r="K106" s="72" t="inlineStr">
        <is>
          <t>Afgesloten</t>
        </is>
      </c>
      <c r="L106" s="72" t="inlineStr">
        <is>
          <t>van Wees, M.</t>
        </is>
      </c>
      <c r="M106" s="81" t="n"/>
      <c r="N106" s="72" t="inlineStr">
        <is>
          <t>Y</t>
        </is>
      </c>
    </row>
    <row r="107" ht="36" customHeight="1">
      <c r="A107" s="76" t="n">
        <v>106</v>
      </c>
      <c r="B107" s="77" t="n">
        <v>262313003</v>
      </c>
      <c r="C107" s="78" t="n">
        <v>46224</v>
      </c>
      <c r="D107" s="76" t="n">
        <v>85100515</v>
      </c>
      <c r="E107" s="77" t="inlineStr">
        <is>
          <t>Atlas Copco Airpower NV</t>
        </is>
      </c>
      <c r="F107" s="78" t="n">
        <v>46225</v>
      </c>
      <c r="G107" s="77" t="inlineStr">
        <is>
          <t>Gebaseerd op Klantorders 260215451.</t>
        </is>
      </c>
      <c r="H107" s="82" t="n">
        <v>3445.65</v>
      </c>
      <c r="I107" s="76" t="inlineStr">
        <is>
          <t>HKS Scrap Metals B.V.</t>
        </is>
      </c>
      <c r="J107" s="76" t="inlineStr">
        <is>
          <t>Wit S. de</t>
        </is>
      </c>
      <c r="K107" s="76" t="inlineStr">
        <is>
          <t>Afgesloten</t>
        </is>
      </c>
      <c r="L107" s="76" t="inlineStr">
        <is>
          <t>van Wees, M.</t>
        </is>
      </c>
      <c r="M107" s="83" t="n">
        <v>46224.58958333333</v>
      </c>
      <c r="N107" s="76" t="inlineStr">
        <is>
          <t>Y</t>
        </is>
      </c>
    </row>
    <row r="108" ht="36" customHeight="1">
      <c r="A108" s="72" t="n">
        <v>107</v>
      </c>
      <c r="B108" s="73" t="n">
        <v>262312996</v>
      </c>
      <c r="C108" s="74" t="n">
        <v>46224</v>
      </c>
      <c r="D108" s="72" t="n">
        <v>81001647</v>
      </c>
      <c r="E108" s="73" t="inlineStr">
        <is>
          <t>Steadvale Air Systems Ltd</t>
        </is>
      </c>
      <c r="F108" s="74" t="n">
        <v>46223</v>
      </c>
      <c r="G108" s="73" t="inlineStr">
        <is>
          <t>Gebaseerd op Klantorders 260215468.</t>
        </is>
      </c>
      <c r="H108" s="80" t="n">
        <v>3667.3</v>
      </c>
      <c r="I108" s="72" t="inlineStr">
        <is>
          <t>NAM B.V. T.a.v. Accounts Payable</t>
        </is>
      </c>
      <c r="J108" s="72" t="inlineStr">
        <is>
          <t>van Wees, M.</t>
        </is>
      </c>
      <c r="K108" s="72" t="inlineStr">
        <is>
          <t>Afgesloten</t>
        </is>
      </c>
      <c r="L108" s="72" t="inlineStr">
        <is>
          <t>van Wees, M.</t>
        </is>
      </c>
      <c r="M108" s="81" t="n"/>
      <c r="N108" s="72" t="inlineStr">
        <is>
          <t>Y</t>
        </is>
      </c>
    </row>
    <row r="109" ht="36" customHeight="1">
      <c r="A109" s="76" t="n">
        <v>108</v>
      </c>
      <c r="B109" s="77" t="n">
        <v>262312994</v>
      </c>
      <c r="C109" s="78" t="n">
        <v>46224</v>
      </c>
      <c r="D109" s="76" t="n">
        <v>85100515</v>
      </c>
      <c r="E109" s="77" t="inlineStr">
        <is>
          <t>Atlas Copco Airpower NV</t>
        </is>
      </c>
      <c r="F109" s="78" t="n">
        <v>46223</v>
      </c>
      <c r="G109" s="77" t="inlineStr">
        <is>
          <t>Gebaseerd op Klantorders 260215271.</t>
        </is>
      </c>
      <c r="H109" s="82" t="n">
        <v>32.32</v>
      </c>
      <c r="I109" s="76" t="inlineStr">
        <is>
          <t>Eggerding B.V.</t>
        </is>
      </c>
      <c r="J109" s="76" t="inlineStr">
        <is>
          <t>Wit S. de</t>
        </is>
      </c>
      <c r="K109" s="76" t="inlineStr">
        <is>
          <t>Afgesloten</t>
        </is>
      </c>
      <c r="L109" s="76" t="inlineStr">
        <is>
          <t>van Wees, M.</t>
        </is>
      </c>
      <c r="M109" s="83" t="n">
        <v>46232.65138888889</v>
      </c>
      <c r="N109" s="76" t="inlineStr">
        <is>
          <t>Y</t>
        </is>
      </c>
    </row>
    <row r="110" ht="36" customHeight="1">
      <c r="A110" s="72" t="n">
        <v>109</v>
      </c>
      <c r="B110" s="73" t="n">
        <v>262312993</v>
      </c>
      <c r="C110" s="74" t="n">
        <v>46224</v>
      </c>
      <c r="D110" s="72" t="n">
        <v>81001135</v>
      </c>
      <c r="E110" s="73" t="inlineStr">
        <is>
          <t>Itsme BV</t>
        </is>
      </c>
      <c r="F110" s="74" t="n">
        <v>46225</v>
      </c>
      <c r="G110" s="73" t="inlineStr">
        <is>
          <t>Gebaseerd op Klantorders 260215513.</t>
        </is>
      </c>
      <c r="H110" s="80" t="n">
        <v>2785.5</v>
      </c>
      <c r="I110" s="72" t="inlineStr">
        <is>
          <t>NAM B.V. T.a.v. Accounts Payable</t>
        </is>
      </c>
      <c r="J110" s="72" t="inlineStr">
        <is>
          <t>van Wees, M.</t>
        </is>
      </c>
      <c r="K110" s="72" t="inlineStr">
        <is>
          <t>Afgesloten</t>
        </is>
      </c>
      <c r="L110" s="72" t="inlineStr">
        <is>
          <t>van Wees, M.</t>
        </is>
      </c>
      <c r="M110" s="81" t="n"/>
      <c r="N110" s="72" t="inlineStr">
        <is>
          <t>Y</t>
        </is>
      </c>
    </row>
    <row r="111" ht="36" customHeight="1">
      <c r="A111" s="76" t="n">
        <v>110</v>
      </c>
      <c r="B111" s="77" t="n">
        <v>262312997</v>
      </c>
      <c r="C111" s="78" t="n">
        <v>46224</v>
      </c>
      <c r="D111" s="76" t="n">
        <v>85100468</v>
      </c>
      <c r="E111" s="77" t="inlineStr">
        <is>
          <t>Edmac Europe NV</t>
        </is>
      </c>
      <c r="F111" s="78" t="n">
        <v>46262</v>
      </c>
      <c r="G111" s="77" t="inlineStr">
        <is>
          <t>Gebaseerd op Klantorders 260215468.</t>
        </is>
      </c>
      <c r="H111" s="82" t="n">
        <v>67.08</v>
      </c>
      <c r="I111" s="76" t="inlineStr">
        <is>
          <t>NAM B.V. T.a.v. Accounts Payable</t>
        </is>
      </c>
      <c r="J111" s="76" t="inlineStr">
        <is>
          <t>van Wees, M.</t>
        </is>
      </c>
      <c r="K111" s="76" t="inlineStr">
        <is>
          <t>Afgesloten</t>
        </is>
      </c>
      <c r="L111" s="76" t="inlineStr">
        <is>
          <t>van Wees, M.</t>
        </is>
      </c>
      <c r="M111" s="83" t="n">
        <v>46239.59305555555</v>
      </c>
      <c r="N111" s="76" t="inlineStr">
        <is>
          <t>Y</t>
        </is>
      </c>
    </row>
    <row r="112" ht="36" customHeight="1">
      <c r="A112" s="72" t="n">
        <v>111</v>
      </c>
      <c r="B112" s="73" t="n">
        <v>262312987</v>
      </c>
      <c r="C112" s="74" t="n">
        <v>46223</v>
      </c>
      <c r="D112" s="72" t="n">
        <v>81002947</v>
      </c>
      <c r="E112" s="73" t="inlineStr">
        <is>
          <t>Snijder Filtertechniek B.V.</t>
        </is>
      </c>
      <c r="F112" s="74" t="n">
        <v>46224</v>
      </c>
      <c r="G112" s="73" t="inlineStr">
        <is>
          <t>Gebaseerd op Klantorders 260215502.</t>
        </is>
      </c>
      <c r="H112" s="80" t="n">
        <v>738.29</v>
      </c>
      <c r="I112" s="72" t="inlineStr">
        <is>
          <t>ESD-SIC B.V.</t>
        </is>
      </c>
      <c r="J112" s="72" t="inlineStr">
        <is>
          <t>van Wees, M.</t>
        </is>
      </c>
      <c r="K112" s="72" t="inlineStr">
        <is>
          <t>Afgesloten</t>
        </is>
      </c>
      <c r="L112" s="72" t="inlineStr">
        <is>
          <t>van Wees, M.</t>
        </is>
      </c>
      <c r="M112" s="81" t="n"/>
      <c r="N112" s="72" t="inlineStr">
        <is>
          <t>Y</t>
        </is>
      </c>
    </row>
    <row r="113" ht="36" customHeight="1">
      <c r="A113" s="76" t="n">
        <v>112</v>
      </c>
      <c r="B113" s="77" t="n">
        <v>262312963</v>
      </c>
      <c r="C113" s="78" t="n">
        <v>46220</v>
      </c>
      <c r="D113" s="76" t="n">
        <v>85100515</v>
      </c>
      <c r="E113" s="77" t="inlineStr">
        <is>
          <t>Atlas Copco Airpower NV</t>
        </is>
      </c>
      <c r="F113" s="78" t="n">
        <v>46220</v>
      </c>
      <c r="G113" s="77" t="inlineStr">
        <is>
          <t>Gebaseerd op Klantorders 260215467.</t>
        </is>
      </c>
      <c r="H113" s="82" t="n">
        <v>66.94</v>
      </c>
      <c r="I113" s="76" t="inlineStr">
        <is>
          <t>Konings Drinks B.V.</t>
        </is>
      </c>
      <c r="J113" s="76" t="inlineStr">
        <is>
          <t>Kempe A.</t>
        </is>
      </c>
      <c r="K113" s="76" t="inlineStr">
        <is>
          <t>Afgesloten</t>
        </is>
      </c>
      <c r="L113" s="76" t="inlineStr">
        <is>
          <t>van Wees, M.</t>
        </is>
      </c>
      <c r="M113" s="83" t="n">
        <v>46220.63402777778</v>
      </c>
      <c r="N113" s="76" t="inlineStr">
        <is>
          <t>Y</t>
        </is>
      </c>
    </row>
    <row r="114" ht="36" customHeight="1">
      <c r="A114" s="72" t="n">
        <v>113</v>
      </c>
      <c r="B114" s="73" t="n">
        <v>262312863</v>
      </c>
      <c r="C114" s="74" t="n">
        <v>46216</v>
      </c>
      <c r="D114" s="72" t="n">
        <v>80000430</v>
      </c>
      <c r="E114" s="73" t="inlineStr">
        <is>
          <t>Mehrer Compression GmbH</t>
        </is>
      </c>
      <c r="F114" s="74" t="n">
        <v>46235</v>
      </c>
      <c r="G114" s="73" t="inlineStr">
        <is>
          <t>Gebaseerd op Klantorders 260215321. Delen zijn besteld op inkoop order 262312915. Vanwege een te klein order bedrag.</t>
        </is>
      </c>
      <c r="H114" s="80" t="n">
        <v>61.37</v>
      </c>
      <c r="I114" s="72" t="inlineStr">
        <is>
          <t>Ebert HERA B.V.</t>
        </is>
      </c>
      <c r="J114" s="72" t="inlineStr">
        <is>
          <t>Kempe A.</t>
        </is>
      </c>
      <c r="K114" s="72" t="inlineStr">
        <is>
          <t>Geannuleerd</t>
        </is>
      </c>
      <c r="L114" s="72" t="inlineStr">
        <is>
          <t>van Wees, M.</t>
        </is>
      </c>
      <c r="M114" s="81" t="n"/>
      <c r="N114" s="72" t="inlineStr">
        <is>
          <t>Y</t>
        </is>
      </c>
    </row>
    <row r="115" ht="36" customHeight="1">
      <c r="A115" s="76" t="n">
        <v>114</v>
      </c>
      <c r="B115" s="77" t="n">
        <v>262312865</v>
      </c>
      <c r="C115" s="78" t="n">
        <v>46216</v>
      </c>
      <c r="D115" s="76" t="n">
        <v>85100515</v>
      </c>
      <c r="E115" s="77" t="inlineStr">
        <is>
          <t>Atlas Copco Airpower NV</t>
        </is>
      </c>
      <c r="F115" s="78" t="n">
        <v>46216</v>
      </c>
      <c r="G115" s="77" t="inlineStr">
        <is>
          <t>Gebaseerd op Klantorders 260215271.</t>
        </is>
      </c>
      <c r="H115" s="82" t="n">
        <v>660.04</v>
      </c>
      <c r="I115" s="76" t="inlineStr">
        <is>
          <t>Eggerding B.V.</t>
        </is>
      </c>
      <c r="J115" s="76" t="inlineStr">
        <is>
          <t>Wit S. de</t>
        </is>
      </c>
      <c r="K115" s="76" t="inlineStr">
        <is>
          <t>Afgesloten</t>
        </is>
      </c>
      <c r="L115" s="76" t="inlineStr">
        <is>
          <t>van Wees, M.</t>
        </is>
      </c>
      <c r="M115" s="83" t="n">
        <v>46216.59583333333</v>
      </c>
      <c r="N115" s="76" t="inlineStr">
        <is>
          <t>Y</t>
        </is>
      </c>
    </row>
    <row r="116" ht="36" customHeight="1">
      <c r="A116" s="72" t="n">
        <v>115</v>
      </c>
      <c r="B116" s="73" t="n">
        <v>262312827</v>
      </c>
      <c r="C116" s="74" t="n">
        <v>46212</v>
      </c>
      <c r="D116" s="72" t="n">
        <v>85100468</v>
      </c>
      <c r="E116" s="73" t="inlineStr">
        <is>
          <t>Edmac Europe NV</t>
        </is>
      </c>
      <c r="F116" s="74" t="n">
        <v>46212</v>
      </c>
      <c r="G116" s="73" t="inlineStr">
        <is>
          <t>Gebaseerd op Klantorders 260215214.</t>
        </is>
      </c>
      <c r="H116" s="80" t="n">
        <v>997.91</v>
      </c>
      <c r="I116" s="72" t="inlineStr">
        <is>
          <t>Esso Petroleum Company, Limited</t>
        </is>
      </c>
      <c r="J116" s="72" t="inlineStr">
        <is>
          <t>van Wees, M.</t>
        </is>
      </c>
      <c r="K116" s="72" t="inlineStr">
        <is>
          <t>Afgesloten</t>
        </is>
      </c>
      <c r="L116" s="72" t="inlineStr">
        <is>
          <t>van Wees, M.</t>
        </is>
      </c>
      <c r="M116" s="81" t="n">
        <v>46212.63402777778</v>
      </c>
      <c r="N116" s="72" t="inlineStr">
        <is>
          <t>Y</t>
        </is>
      </c>
    </row>
    <row r="117" ht="36" customHeight="1">
      <c r="A117" s="76" t="n">
        <v>116</v>
      </c>
      <c r="B117" s="77" t="n">
        <v>262312790</v>
      </c>
      <c r="C117" s="78" t="n">
        <v>46211</v>
      </c>
      <c r="D117" s="76" t="n">
        <v>85100281</v>
      </c>
      <c r="E117" s="77" t="inlineStr">
        <is>
          <t>Particle Technics BVBA</t>
        </is>
      </c>
      <c r="F117" s="78" t="n">
        <v>46220</v>
      </c>
      <c r="G117" s="77" t="inlineStr">
        <is>
          <t>Gebaseerd op Klantorders 260215174.</t>
        </is>
      </c>
      <c r="H117" s="82" t="n">
        <v>80.3</v>
      </c>
      <c r="I117" s="76" t="inlineStr">
        <is>
          <t>Acta Trio Milieu &amp; Veiligheid</t>
        </is>
      </c>
      <c r="J117" s="76" t="inlineStr">
        <is>
          <t>van Wees, M.</t>
        </is>
      </c>
      <c r="K117" s="76" t="inlineStr">
        <is>
          <t>Afgesloten</t>
        </is>
      </c>
      <c r="L117" s="76" t="inlineStr">
        <is>
          <t>van Wees, M.</t>
        </is>
      </c>
      <c r="M117" s="83" t="n"/>
      <c r="N117" s="76" t="inlineStr">
        <is>
          <t>Y</t>
        </is>
      </c>
    </row>
  </sheetData>
  <autoFilter ref="A1:N117"/>
  <conditionalFormatting sqref="I2:I5000">
    <cfRule type="cellIs" priority="1" operator="equal" dxfId="2" stopIfTrue="1">
      <formula>"Afgesloten"</formula>
    </cfRule>
    <cfRule type="cellIs" priority="2" operator="equal" dxfId="1" stopIfTrue="1">
      <formula>"Open"</formula>
    </cfRule>
    <cfRule type="cellIs" priority="3" operator="equal" dxfId="0" stopIfTrue="1">
      <formula>"Geannuleerd"</formula>
    </cfRule>
  </conditionalFormatting>
  <conditionalFormatting sqref="K2:K10000">
    <cfRule type="expression" priority="4" dxfId="6">
      <formula>$K2="Open"</formula>
    </cfRule>
    <cfRule type="expression" priority="5" dxfId="7">
      <formula>$K2="Afgesloten"</formula>
    </cfRule>
    <cfRule type="expression" priority="6" dxfId="8">
      <formula>$K2="Geannuleerd"</formula>
    </cfRule>
  </conditionalFormatting>
  <printOptions horizontalCentered="1"/>
  <pageMargins left="0.7" right="0.7" top="0.75" bottom="0.75" header="0.3" footer="0.3"/>
  <headerFooter>
    <oddHeader/>
    <oddFooter>&amp;CMVW | Leveringen&amp;RPagina &amp;P van &amp;N</oddFooter>
    <evenHeader/>
    <evenFooter/>
    <firstHeader/>
    <firstFooter/>
  </headerFooter>
</worksheet>
</file>

<file path=xl/worksheets/sheet3.xml><?xml version="1.0" encoding="utf-8"?>
<worksheet xmlns="http://schemas.openxmlformats.org/spreadsheetml/2006/main">
  <sheetPr codeName="Sheet4">
    <tabColor rgb="00142D4E"/>
    <outlinePr summaryBelow="1" summaryRight="1"/>
    <pageSetUpPr fitToPage="1"/>
  </sheetPr>
  <dimension ref="A1:C15"/>
  <sheetViews>
    <sheetView showGridLines="0" tabSelected="1" zoomScale="85" zoomScaleNormal="100" workbookViewId="0">
      <pane ySplit="1" topLeftCell="A2" activePane="bottomLeft" state="frozen"/>
      <selection pane="bottomLeft" activeCell="A2" sqref="A2"/>
    </sheetView>
  </sheetViews>
  <sheetFormatPr baseColWidth="8" defaultRowHeight="15"/>
  <cols>
    <col width="23" customWidth="1" min="1" max="1"/>
    <col width="43" customWidth="1" min="2" max="2"/>
    <col width="28" customWidth="1" min="3" max="3"/>
  </cols>
  <sheetData>
    <row r="1" ht="38" customHeight="1">
      <c r="A1" s="71" t="inlineStr">
        <is>
          <t>Naam</t>
        </is>
      </c>
      <c r="B1" s="71" t="inlineStr">
        <is>
          <t>Email</t>
        </is>
      </c>
      <c r="C1" s="71" t="inlineStr">
        <is>
          <t>Verkoopmedewerker</t>
        </is>
      </c>
    </row>
    <row r="2" ht="36" customHeight="1">
      <c r="A2" s="72" t="inlineStr">
        <is>
          <t>Wesley</t>
        </is>
      </c>
      <c r="B2" s="73" t="inlineStr">
        <is>
          <t>wesley.hudepohl@geveke.com</t>
        </is>
      </c>
      <c r="C2" s="72" t="inlineStr">
        <is>
          <t>Hudepohl W.</t>
        </is>
      </c>
    </row>
    <row r="3" ht="36" customHeight="1">
      <c r="A3" s="76" t="inlineStr">
        <is>
          <t>Arno</t>
        </is>
      </c>
      <c r="B3" s="77" t="inlineStr">
        <is>
          <t>arno.kempe@geveke.com</t>
        </is>
      </c>
      <c r="C3" s="76" t="inlineStr">
        <is>
          <t>Kempe A.</t>
        </is>
      </c>
    </row>
    <row r="4" ht="36" customHeight="1">
      <c r="A4" s="72" t="inlineStr">
        <is>
          <t>Sjun</t>
        </is>
      </c>
      <c r="B4" s="73" t="inlineStr">
        <is>
          <t>sjun.dewit@geveke.com</t>
        </is>
      </c>
      <c r="C4" s="72" t="inlineStr">
        <is>
          <t>De wit S.</t>
        </is>
      </c>
    </row>
    <row r="5" ht="36" customHeight="1">
      <c r="A5" s="76" t="inlineStr">
        <is>
          <t>Eric</t>
        </is>
      </c>
      <c r="B5" s="77" t="inlineStr">
        <is>
          <t>eric.buissink@geveke.com</t>
        </is>
      </c>
      <c r="C5" s="76" t="inlineStr">
        <is>
          <t>Buissink E.</t>
        </is>
      </c>
    </row>
    <row r="6" ht="36" customHeight="1">
      <c r="A6" s="72" t="inlineStr">
        <is>
          <t>Robert</t>
        </is>
      </c>
      <c r="B6" s="73" t="inlineStr">
        <is>
          <t>robert.stuiver@geveke.com</t>
        </is>
      </c>
      <c r="C6" s="72" t="inlineStr">
        <is>
          <t>Stuiver R.</t>
        </is>
      </c>
    </row>
    <row r="7" ht="36" customHeight="1">
      <c r="A7" s="76" t="inlineStr">
        <is>
          <t>Ronnie</t>
        </is>
      </c>
      <c r="B7" s="77" t="inlineStr">
        <is>
          <t>ronnie.vrieling@geveke.com</t>
        </is>
      </c>
      <c r="C7" s="76" t="inlineStr">
        <is>
          <t>Vrieling R.H.</t>
        </is>
      </c>
    </row>
    <row r="8" ht="21" customHeight="1">
      <c r="A8" s="3" t="n"/>
      <c r="B8" s="3" t="n"/>
      <c r="C8" s="3" t="n"/>
    </row>
    <row r="9" ht="21" customHeight="1">
      <c r="A9" s="24" t="n"/>
      <c r="B9" s="24" t="n"/>
      <c r="C9" s="24" t="n"/>
    </row>
    <row r="10" ht="21" customHeight="1">
      <c r="A10" s="3" t="n"/>
      <c r="B10" s="3" t="n"/>
      <c r="C10" s="3" t="n"/>
    </row>
    <row r="11" ht="21" customHeight="1">
      <c r="A11" s="24" t="n"/>
      <c r="B11" s="24" t="n"/>
      <c r="C11" s="24" t="n"/>
    </row>
    <row r="12" ht="21" customHeight="1">
      <c r="A12" s="3" t="n"/>
      <c r="B12" s="3" t="n"/>
      <c r="C12" s="3" t="n"/>
    </row>
    <row r="13" ht="21" customHeight="1">
      <c r="A13" s="24" t="n"/>
      <c r="B13" s="24" t="n"/>
      <c r="C13" s="24" t="n"/>
    </row>
    <row r="14" ht="21" customHeight="1">
      <c r="A14" s="3" t="n"/>
      <c r="B14" s="3" t="n"/>
      <c r="C14" s="3" t="n"/>
    </row>
    <row r="15" ht="21" customHeight="1">
      <c r="A15" s="24" t="n"/>
      <c r="B15" s="24" t="n"/>
      <c r="C15" s="24" t="n"/>
    </row>
  </sheetData>
  <autoFilter ref="A1:C7"/>
  <printOptions horizontalCentered="1"/>
  <pageMargins left="0.7" right="0.7" top="0.75" bottom="0.75" header="0.3" footer="0.3"/>
  <pageSetup xmlns:r="http://schemas.openxmlformats.org/officeDocument/2006/relationships" orientation="portrait" verticalDpi="0" r:id="rId1"/>
  <headerFooter>
    <oddHeader/>
    <oddFooter>&amp;CMVW | Leveringen&amp;RPagina &amp;P van &amp;N</oddFooter>
    <evenHeader/>
    <evenFooter/>
    <firstHeader/>
    <firstFooter/>
  </headerFooter>
</worksheet>
</file>

<file path=xl/worksheets/sheet4.xml><?xml version="1.0" encoding="utf-8"?>
<worksheet xmlns="http://schemas.openxmlformats.org/spreadsheetml/2006/main">
  <sheetPr codeName="Sheet2">
    <tabColor rgb="00142D4E"/>
    <outlinePr summaryBelow="1" summaryRight="1"/>
    <pageSetUpPr fitToPage="1"/>
  </sheetPr>
  <dimension ref="A1:G85"/>
  <sheetViews>
    <sheetView showGridLines="0" zoomScale="85" zoomScaleNormal="95" workbookViewId="0">
      <pane xSplit="2" ySplit="1" topLeftCell="C2" activePane="bottomRight" state="frozen"/>
      <selection pane="topRight"/>
      <selection pane="bottomLeft"/>
      <selection pane="bottomRight" activeCell="E85" sqref="E85"/>
    </sheetView>
  </sheetViews>
  <sheetFormatPr baseColWidth="8" defaultRowHeight="15"/>
  <cols>
    <col width="15" customWidth="1" min="1" max="1"/>
    <col width="31" customWidth="1" min="2" max="2"/>
    <col width="24" customWidth="1" min="3" max="3"/>
    <col width="16" customWidth="1" min="4" max="4"/>
    <col width="29" customWidth="1" min="5" max="5"/>
    <col width="15" customWidth="1" min="6" max="6"/>
    <col width="45" bestFit="1" customWidth="1" min="7" max="7"/>
  </cols>
  <sheetData>
    <row r="1" ht="38" customHeight="1">
      <c r="A1" s="71" t="inlineStr">
        <is>
          <t>Klantorder</t>
        </is>
      </c>
      <c r="B1" s="71" t="inlineStr">
        <is>
          <t>Klantnaam</t>
        </is>
      </c>
      <c r="C1" s="71" t="inlineStr">
        <is>
          <t>Orderbehandelaar</t>
        </is>
      </c>
      <c r="D1" s="71" t="inlineStr">
        <is>
          <t>Bestelling</t>
        </is>
      </c>
      <c r="E1" s="71" t="inlineStr">
        <is>
          <t>Leverancier</t>
        </is>
      </c>
      <c r="F1" s="71" t="inlineStr">
        <is>
          <t>Levertijd</t>
        </is>
      </c>
      <c r="G1" s="71" t="inlineStr">
        <is>
          <t>Opmerking</t>
        </is>
      </c>
    </row>
    <row r="2" ht="36" customHeight="1">
      <c r="A2" s="72" t="inlineStr">
        <is>
          <t>260215271</t>
        </is>
      </c>
      <c r="B2" s="73" t="inlineStr">
        <is>
          <t>Eggerding</t>
        </is>
      </c>
      <c r="C2" s="72" t="inlineStr">
        <is>
          <t>Sjun</t>
        </is>
      </c>
      <c r="D2" s="72" t="inlineStr">
        <is>
          <t>262312994</t>
        </is>
      </c>
      <c r="E2" s="73" t="inlineStr">
        <is>
          <t>ATL</t>
        </is>
      </c>
      <c r="F2" s="74" t="inlineStr">
        <is>
          <t>?</t>
        </is>
      </c>
      <c r="G2" s="73" t="n"/>
    </row>
    <row r="3" ht="36" customHeight="1">
      <c r="A3" s="76" t="inlineStr">
        <is>
          <t>260215663</t>
        </is>
      </c>
      <c r="B3" s="77" t="inlineStr">
        <is>
          <t>Hobrand B.V.</t>
        </is>
      </c>
      <c r="C3" s="76" t="inlineStr">
        <is>
          <t>van Wees, M.</t>
        </is>
      </c>
      <c r="D3" s="76" t="inlineStr">
        <is>
          <t>262313080</t>
        </is>
      </c>
      <c r="E3" s="77" t="inlineStr">
        <is>
          <t>Parker Hannifin B.V.</t>
        </is>
      </c>
      <c r="F3" s="78" t="n">
        <v>46239</v>
      </c>
      <c r="G3" s="77" t="n"/>
    </row>
    <row r="4" ht="36" customHeight="1">
      <c r="A4" s="72" t="inlineStr">
        <is>
          <t>260215726</t>
        </is>
      </c>
      <c r="B4" s="73" t="inlineStr">
        <is>
          <t>Industriele Diensten Heino BV</t>
        </is>
      </c>
      <c r="C4" s="72" t="inlineStr">
        <is>
          <t>Stuiver R.</t>
        </is>
      </c>
      <c r="D4" s="72" t="inlineStr">
        <is>
          <t>262313113</t>
        </is>
      </c>
      <c r="E4" s="73" t="inlineStr">
        <is>
          <t>Parker Hannifin B.V.</t>
        </is>
      </c>
      <c r="F4" s="74" t="n">
        <v>46232</v>
      </c>
      <c r="G4" s="73" t="n"/>
    </row>
    <row r="5" ht="36" customHeight="1">
      <c r="A5" s="76" t="inlineStr">
        <is>
          <t>260215793</t>
        </is>
      </c>
      <c r="B5" s="77" t="inlineStr">
        <is>
          <t>Veolia Industriediensten B.V.</t>
        </is>
      </c>
      <c r="C5" s="76" t="inlineStr">
        <is>
          <t>Stuiver R.</t>
        </is>
      </c>
      <c r="D5" s="76" t="inlineStr">
        <is>
          <t>262313183</t>
        </is>
      </c>
      <c r="E5" s="77" t="inlineStr">
        <is>
          <t>Atlas Copco Airpower NV</t>
        </is>
      </c>
      <c r="F5" s="78" t="n">
        <v>46239</v>
      </c>
      <c r="G5" s="77" t="n"/>
    </row>
    <row r="6" ht="36" customHeight="1">
      <c r="A6" s="72" t="inlineStr">
        <is>
          <t>260215000</t>
        </is>
      </c>
      <c r="B6" s="73" t="inlineStr">
        <is>
          <t>HKS Scrap Metals B.V.</t>
        </is>
      </c>
      <c r="C6" s="72" t="inlineStr">
        <is>
          <t>Kempe A.</t>
        </is>
      </c>
      <c r="D6" s="72" t="inlineStr">
        <is>
          <t>262313274</t>
        </is>
      </c>
      <c r="E6" s="73" t="inlineStr">
        <is>
          <t>Itsme BV</t>
        </is>
      </c>
      <c r="F6" s="74" t="n">
        <v>46245</v>
      </c>
      <c r="G6" s="73" t="n"/>
    </row>
    <row r="7" ht="36" customHeight="1">
      <c r="A7" s="76" t="inlineStr">
        <is>
          <t>260216052</t>
        </is>
      </c>
      <c r="B7" s="77" t="inlineStr">
        <is>
          <t>HBS Rail B.V.</t>
        </is>
      </c>
      <c r="C7" s="76" t="inlineStr">
        <is>
          <t>Hudepohl W.</t>
        </is>
      </c>
      <c r="D7" s="76" t="inlineStr">
        <is>
          <t>262313275</t>
        </is>
      </c>
      <c r="E7" s="77" t="inlineStr">
        <is>
          <t>Atlas Copco Airpower NV</t>
        </is>
      </c>
      <c r="F7" s="78" t="n">
        <v>46246</v>
      </c>
      <c r="G7" s="79" t="inlineStr">
        <is>
          <t>https://ac-p-ascintranet.azurewebsites.net/OrderCaseTracking/ReturnOrder?orderNr=62313275</t>
        </is>
      </c>
    </row>
    <row r="8" ht="36" customHeight="1">
      <c r="A8" s="72" t="inlineStr">
        <is>
          <t>260215693</t>
        </is>
      </c>
      <c r="B8" s="73" t="inlineStr">
        <is>
          <t>N.V. HVC</t>
        </is>
      </c>
      <c r="C8" s="72" t="inlineStr">
        <is>
          <t>Hudepohl W.</t>
        </is>
      </c>
      <c r="D8" s="72" t="inlineStr">
        <is>
          <t>262313103</t>
        </is>
      </c>
      <c r="E8" s="73" t="inlineStr">
        <is>
          <t>Mehrer Compression GmbH</t>
        </is>
      </c>
      <c r="F8" s="74" t="n">
        <v>46253</v>
      </c>
      <c r="G8" s="73" t="n"/>
    </row>
    <row r="9" ht="36" customHeight="1">
      <c r="A9" s="76" t="inlineStr">
        <is>
          <t>260215595</t>
        </is>
      </c>
      <c r="B9" s="77" t="inlineStr">
        <is>
          <t>Grasdrogerij Hartog B.V.</t>
        </is>
      </c>
      <c r="C9" s="76" t="inlineStr">
        <is>
          <t>Hudepohl W.</t>
        </is>
      </c>
      <c r="D9" s="76" t="inlineStr">
        <is>
          <t>262313037</t>
        </is>
      </c>
      <c r="E9" s="77" t="inlineStr">
        <is>
          <t>Friedrich Picard GmbH &amp; Co.KG</t>
        </is>
      </c>
      <c r="F9" s="78" t="n">
        <v>46226</v>
      </c>
      <c r="G9" s="77" t="n"/>
    </row>
    <row r="10" ht="36" customHeight="1">
      <c r="A10" s="72" t="inlineStr">
        <is>
          <t>260215468</t>
        </is>
      </c>
      <c r="B10" s="73" t="inlineStr">
        <is>
          <t>NAM B.V. T.a.v. Accounts Payable</t>
        </is>
      </c>
      <c r="C10" s="72" t="inlineStr">
        <is>
          <t>van Wees, M.</t>
        </is>
      </c>
      <c r="D10" s="72" t="inlineStr">
        <is>
          <t>262312996</t>
        </is>
      </c>
      <c r="E10" s="73" t="inlineStr">
        <is>
          <t>Steadvale Air Systems Ltd</t>
        </is>
      </c>
      <c r="F10" s="74" t="n">
        <v>46223</v>
      </c>
      <c r="G10" s="73" t="n"/>
    </row>
    <row r="11" ht="36" customHeight="1">
      <c r="A11" s="76" t="n">
        <v>260215793</v>
      </c>
      <c r="B11" s="77" t="inlineStr">
        <is>
          <t>Veolia Industriediensten B.V.</t>
        </is>
      </c>
      <c r="C11" s="76" t="inlineStr">
        <is>
          <t>Stuiver R.</t>
        </is>
      </c>
      <c r="D11" s="76" t="n">
        <v>262313343</v>
      </c>
      <c r="E11" s="77" t="inlineStr">
        <is>
          <t>Atlas Copco Airpower NV</t>
        </is>
      </c>
      <c r="F11" s="78" t="n">
        <v>46235</v>
      </c>
      <c r="G11" s="79" t="inlineStr">
        <is>
          <t>https://ac-p-ascintranet.azurewebsites.net/OrderCaseTracking/ReturnOrder?orderNr=62313343</t>
        </is>
      </c>
    </row>
    <row r="12" ht="36" customHeight="1">
      <c r="A12" s="72" t="inlineStr">
        <is>
          <t>260215955</t>
        </is>
      </c>
      <c r="B12" s="73" t="inlineStr">
        <is>
          <t>National Marine Suppliers B.V.</t>
        </is>
      </c>
      <c r="C12" s="72" t="inlineStr">
        <is>
          <t>van Wees, M.</t>
        </is>
      </c>
      <c r="D12" s="72" t="n">
        <v>262313289</v>
      </c>
      <c r="E12" s="73" t="inlineStr">
        <is>
          <t>Edmac Europe NV</t>
        </is>
      </c>
      <c r="F12" s="74" t="n">
        <v>46248</v>
      </c>
      <c r="G12" s="75" t="inlineStr">
        <is>
          <t>https://tracking.essers.com/B2B/?FUNCTION=publicweborder&amp;PROFILEID=ESSERSWEBPERMISSION194325&amp;PROFILE=T%26T+EDMAC&amp;BILLING_REFERENCE=4156300500</t>
        </is>
      </c>
    </row>
    <row r="13" ht="36" customHeight="1">
      <c r="A13" s="76" t="n">
        <v>260213802</v>
      </c>
      <c r="B13" s="77" t="inlineStr">
        <is>
          <t>Cargill Bioindustrial B.V.</t>
        </is>
      </c>
      <c r="C13" s="76" t="inlineStr">
        <is>
          <t>Hudepohl W.</t>
        </is>
      </c>
      <c r="D13" s="76" t="n">
        <v>262313299</v>
      </c>
      <c r="E13" s="77" t="inlineStr">
        <is>
          <t>Atlas Copco Airpower NV</t>
        </is>
      </c>
      <c r="F13" s="78" t="n">
        <v>46251</v>
      </c>
      <c r="G13" s="79" t="inlineStr">
        <is>
          <t>https://ac-p-ascintranet.azurewebsites.net/OrderCaseTracking/ReturnOrder?orderNr=62313299</t>
        </is>
      </c>
    </row>
    <row r="14" ht="36" customHeight="1">
      <c r="A14" s="72" t="n">
        <v>260216106</v>
      </c>
      <c r="B14" s="73" t="inlineStr">
        <is>
          <t>Elis Nederland B.V.</t>
        </is>
      </c>
      <c r="C14" s="72" t="inlineStr">
        <is>
          <t>Stuiver R.</t>
        </is>
      </c>
      <c r="D14" s="72" t="n">
        <v>262313325</v>
      </c>
      <c r="E14" s="73" t="inlineStr">
        <is>
          <t>Atlas Copco Airpower NV</t>
        </is>
      </c>
      <c r="F14" s="74" t="n">
        <v>46246</v>
      </c>
      <c r="G14" s="75" t="inlineStr">
        <is>
          <t>https://ac-p-ascintranet.azurewebsites.net/OrderCaseTracking/ReturnOrder?orderNr=62313325</t>
        </is>
      </c>
    </row>
    <row r="15" ht="36" customHeight="1">
      <c r="A15" s="76" t="inlineStr">
        <is>
          <t>260215513</t>
        </is>
      </c>
      <c r="B15" s="77" t="inlineStr">
        <is>
          <t>NAM B.V. T.a.v. Accounts Payable</t>
        </is>
      </c>
      <c r="C15" s="76" t="inlineStr">
        <is>
          <t>van Wees, M.</t>
        </is>
      </c>
      <c r="D15" s="76" t="inlineStr">
        <is>
          <t>262313014</t>
        </is>
      </c>
      <c r="E15" s="77" t="inlineStr">
        <is>
          <t>Technische Unie B.V.</t>
        </is>
      </c>
      <c r="F15" s="78" t="n">
        <v>46265</v>
      </c>
      <c r="G15" s="77" t="n"/>
    </row>
    <row r="16" ht="36" customHeight="1">
      <c r="A16" s="84" t="inlineStr">
        <is>
          <t>260216103</t>
        </is>
      </c>
      <c r="B16" s="73" t="inlineStr">
        <is>
          <t>RET N.V.</t>
        </is>
      </c>
      <c r="C16" s="72" t="inlineStr">
        <is>
          <t>van Wees, M.</t>
        </is>
      </c>
      <c r="D16" s="84" t="inlineStr">
        <is>
          <t>262313297</t>
        </is>
      </c>
      <c r="E16" s="73" t="inlineStr">
        <is>
          <t>Edmac Europe NV</t>
        </is>
      </c>
      <c r="F16" s="74" t="n">
        <v>46246</v>
      </c>
      <c r="G16" s="73" t="n"/>
    </row>
    <row r="17" ht="36" customHeight="1">
      <c r="A17" s="76" t="n">
        <v>260213802</v>
      </c>
      <c r="B17" s="77" t="inlineStr">
        <is>
          <t>Cargill Bioindustrial B.V.</t>
        </is>
      </c>
      <c r="C17" s="76" t="inlineStr">
        <is>
          <t>Hudepohl W.</t>
        </is>
      </c>
      <c r="D17" s="76" t="n">
        <v>262313417</v>
      </c>
      <c r="E17" s="77" t="inlineStr">
        <is>
          <t>Atlas Copco Airpower NV</t>
        </is>
      </c>
      <c r="F17" s="78" t="n">
        <v>46258</v>
      </c>
      <c r="G17" s="79" t="inlineStr">
        <is>
          <t>https://ac-p-ascintranet.azurewebsites.net/OrderCaseTracking/ReturnOrder?orderNr=62313417</t>
        </is>
      </c>
    </row>
    <row r="18" ht="36" customHeight="1">
      <c r="A18" s="72" t="n">
        <v>260215513</v>
      </c>
      <c r="B18" s="73" t="inlineStr">
        <is>
          <t>NAM B.V. T.a.v. Accounts Payable</t>
        </is>
      </c>
      <c r="C18" s="72" t="inlineStr">
        <is>
          <t>van Wees, M.</t>
        </is>
      </c>
      <c r="D18" s="72" t="n">
        <v>262312993</v>
      </c>
      <c r="E18" s="73" t="inlineStr">
        <is>
          <t>Itsme BV</t>
        </is>
      </c>
      <c r="F18" s="74" t="n">
        <v>46225</v>
      </c>
      <c r="G18" s="73" t="n"/>
    </row>
    <row r="19" ht="36" customHeight="1">
      <c r="A19" s="76" t="n">
        <v>260215595</v>
      </c>
      <c r="B19" s="77" t="inlineStr">
        <is>
          <t>Grasdrogerij Hartog B.V.</t>
        </is>
      </c>
      <c r="C19" s="76" t="inlineStr">
        <is>
          <t>Hudepohl W.</t>
        </is>
      </c>
      <c r="D19" s="76" t="n">
        <v>262313038</v>
      </c>
      <c r="E19" s="77" t="inlineStr">
        <is>
          <t>Dalgakiran Kompresor San. VE Tic.LTD</t>
        </is>
      </c>
      <c r="F19" s="78" t="n">
        <v>46258</v>
      </c>
      <c r="G19" s="77" t="n"/>
    </row>
    <row r="20" ht="36" customHeight="1">
      <c r="A20" s="72" t="n">
        <v>260216398</v>
      </c>
      <c r="B20" s="73" t="inlineStr">
        <is>
          <t>Stolthaven Moerdijk B.V.</t>
        </is>
      </c>
      <c r="C20" s="72" t="inlineStr">
        <is>
          <t>Kempe A.</t>
        </is>
      </c>
      <c r="D20" s="72" t="n">
        <v>262313451</v>
      </c>
      <c r="E20" s="73" t="inlineStr">
        <is>
          <t>Edmac Europe NV</t>
        </is>
      </c>
      <c r="F20" s="74" t="n">
        <v>46266</v>
      </c>
      <c r="G20" s="73" t="n"/>
    </row>
    <row r="21" ht="36" customHeight="1">
      <c r="A21" s="76" t="n">
        <v>260216056</v>
      </c>
      <c r="B21" s="77" t="inlineStr">
        <is>
          <t>MTH machine techniek</t>
        </is>
      </c>
      <c r="C21" s="76" t="inlineStr">
        <is>
          <t>Stuiver R.</t>
        </is>
      </c>
      <c r="D21" s="76" t="n">
        <v>262313331</v>
      </c>
      <c r="E21" s="77" t="inlineStr">
        <is>
          <t>Atlas Copco Airpower NV</t>
        </is>
      </c>
      <c r="F21" s="78" t="n">
        <v>46246</v>
      </c>
      <c r="G21" s="79" t="inlineStr">
        <is>
          <t>https://ac-p-ascintranet.azurewebsites.net/OrderCaseTracking/ReturnOrder?orderNr=62313331</t>
        </is>
      </c>
    </row>
    <row r="22" ht="36" customHeight="1">
      <c r="A22" s="72" t="n">
        <v>260216398</v>
      </c>
      <c r="B22" s="73" t="inlineStr">
        <is>
          <t>Stolthaven Moerdijk B.V.</t>
        </is>
      </c>
      <c r="C22" s="72" t="inlineStr">
        <is>
          <t>Kempe A.</t>
        </is>
      </c>
      <c r="D22" s="72" t="n">
        <v>262313453</v>
      </c>
      <c r="E22" s="73" t="inlineStr">
        <is>
          <t>Geveke Service Centre</t>
        </is>
      </c>
      <c r="F22" s="74" t="n">
        <v>46266</v>
      </c>
      <c r="G22" s="73" t="n"/>
    </row>
    <row r="23" ht="36" customHeight="1">
      <c r="A23" s="76" t="n">
        <v>260215623</v>
      </c>
      <c r="B23" s="77" t="inlineStr">
        <is>
          <t>St. Rivas Zorggroep</t>
        </is>
      </c>
      <c r="C23" s="76" t="inlineStr">
        <is>
          <t>Hudepohl W.</t>
        </is>
      </c>
      <c r="D23" s="76" t="n">
        <v>262313056</v>
      </c>
      <c r="E23" s="77" t="inlineStr">
        <is>
          <t>Itsme BV</t>
        </is>
      </c>
      <c r="F23" s="78" t="n">
        <v>46239</v>
      </c>
      <c r="G23" s="77" t="n"/>
    </row>
    <row r="24" ht="36" customHeight="1">
      <c r="A24" s="72" t="n">
        <v>260216442</v>
      </c>
      <c r="B24" s="73" t="inlineStr">
        <is>
          <t>MTH machine techniek</t>
        </is>
      </c>
      <c r="C24" s="72" t="inlineStr">
        <is>
          <t>Stuiver R.</t>
        </is>
      </c>
      <c r="D24" s="72" t="n">
        <v>262313331</v>
      </c>
      <c r="E24" s="73" t="inlineStr">
        <is>
          <t>Atlas Copco Airpower NV</t>
        </is>
      </c>
      <c r="F24" s="74" t="n">
        <v>46246</v>
      </c>
      <c r="G24" s="75" t="inlineStr">
        <is>
          <t>https://ac-p-ascintranet.azurewebsites.net/OrderCaseTracking/ReturnOrder?orderNr=62313331</t>
        </is>
      </c>
    </row>
    <row r="25" ht="36" customHeight="1">
      <c r="A25" s="76" t="n">
        <v>260215468</v>
      </c>
      <c r="B25" s="77" t="inlineStr">
        <is>
          <t>NAM B.V. T.a.v. Accounts Payable</t>
        </is>
      </c>
      <c r="C25" s="76" t="inlineStr">
        <is>
          <t>van Wees, M.</t>
        </is>
      </c>
      <c r="D25" s="76" t="n">
        <v>262312997</v>
      </c>
      <c r="E25" s="77" t="inlineStr">
        <is>
          <t>Edmac Europe NV</t>
        </is>
      </c>
      <c r="F25" s="78" t="n">
        <v>46262</v>
      </c>
      <c r="G25" s="77" t="n"/>
    </row>
    <row r="26" ht="36" customHeight="1">
      <c r="A26" s="72" t="n">
        <v>260216398</v>
      </c>
      <c r="B26" s="73" t="inlineStr">
        <is>
          <t>Stolthaven Moerdijk B.V.</t>
        </is>
      </c>
      <c r="C26" s="72" t="inlineStr">
        <is>
          <t>Kempe A.</t>
        </is>
      </c>
      <c r="D26" s="72" t="n">
        <v>262313453</v>
      </c>
      <c r="E26" s="73" t="inlineStr">
        <is>
          <t>Geveke Service Centre</t>
        </is>
      </c>
      <c r="F26" s="74" t="n">
        <v>46260</v>
      </c>
      <c r="G26" s="73" t="n"/>
    </row>
    <row r="27" ht="36" customHeight="1">
      <c r="A27" s="76" t="n">
        <v>260215623</v>
      </c>
      <c r="B27" s="77" t="inlineStr">
        <is>
          <t>Intervet International B.V.</t>
        </is>
      </c>
      <c r="C27" s="76" t="inlineStr">
        <is>
          <t>De wit S.</t>
        </is>
      </c>
      <c r="D27" s="76" t="n">
        <v>262313056</v>
      </c>
      <c r="E27" s="77" t="inlineStr">
        <is>
          <t>It's Me</t>
        </is>
      </c>
      <c r="F27" s="78" t="n">
        <v>46267</v>
      </c>
      <c r="G27" s="77" t="n"/>
    </row>
    <row r="28" ht="36" customHeight="1">
      <c r="A28" s="72" t="n">
        <v>260216264</v>
      </c>
      <c r="B28" s="73" t="inlineStr">
        <is>
          <t>Ebert HERA B.V.</t>
        </is>
      </c>
      <c r="C28" s="72" t="inlineStr">
        <is>
          <t>van Wees, M.</t>
        </is>
      </c>
      <c r="D28" s="72" t="n">
        <v>262313399</v>
      </c>
      <c r="E28" s="73" t="inlineStr">
        <is>
          <t>Mehrer Compression GmbH</t>
        </is>
      </c>
      <c r="F28" s="74" t="n">
        <v>46265</v>
      </c>
      <c r="G28" s="73" t="n"/>
    </row>
    <row r="29" ht="36" customHeight="1">
      <c r="A29" s="76" t="n">
        <v>260215468</v>
      </c>
      <c r="B29" s="77" t="inlineStr">
        <is>
          <t>NAM B.V. T.a.v. Accounts Payable</t>
        </is>
      </c>
      <c r="C29" s="76" t="inlineStr">
        <is>
          <t>van Wees, M.</t>
        </is>
      </c>
      <c r="D29" s="76" t="n">
        <v>262312995</v>
      </c>
      <c r="E29" s="77" t="inlineStr">
        <is>
          <t>Parker Hannifin B.V.</t>
        </is>
      </c>
      <c r="F29" s="78" t="n">
        <v>46267</v>
      </c>
      <c r="G29" s="77" t="n"/>
    </row>
    <row r="30" ht="36" customHeight="1">
      <c r="A30" s="72" t="n">
        <v>260216398</v>
      </c>
      <c r="B30" s="73" t="inlineStr">
        <is>
          <t>Stolthaven Moerdijk B.V.</t>
        </is>
      </c>
      <c r="C30" s="72" t="inlineStr">
        <is>
          <t>Kempe A.</t>
        </is>
      </c>
      <c r="D30" s="72" t="n">
        <v>262313451</v>
      </c>
      <c r="E30" s="73" t="inlineStr">
        <is>
          <t>Edmac Europe NV</t>
        </is>
      </c>
      <c r="F30" s="74" t="n">
        <v>46266</v>
      </c>
      <c r="G30" s="73" t="n"/>
    </row>
    <row r="31" ht="36" customHeight="1">
      <c r="A31" s="76" t="n">
        <v>260216457</v>
      </c>
      <c r="B31" s="77" t="inlineStr">
        <is>
          <t>Lamb-Weston</t>
        </is>
      </c>
      <c r="C31" s="76" t="inlineStr">
        <is>
          <t>Stuiver R.</t>
        </is>
      </c>
      <c r="D31" s="76" t="n">
        <v>262313476</v>
      </c>
      <c r="E31" s="77" t="inlineStr">
        <is>
          <t>Atlas Copco Airpower NV</t>
        </is>
      </c>
      <c r="F31" s="78" t="n">
        <v>46259</v>
      </c>
      <c r="G31" s="79" t="inlineStr">
        <is>
          <t>https://ac-p-ascintranet.azurewebsites.net/OrderCaseTracking/ReturnOrder?orderNr=62313476</t>
        </is>
      </c>
    </row>
    <row r="32" ht="36" customHeight="1">
      <c r="A32" s="72" t="n">
        <v>260210911</v>
      </c>
      <c r="B32" s="73" t="inlineStr">
        <is>
          <t>Cargill Bioindustrial B.V.</t>
        </is>
      </c>
      <c r="C32" s="72" t="inlineStr">
        <is>
          <t>-Geen verkoopmedewerker/koper-</t>
        </is>
      </c>
      <c r="D32" s="72" t="n">
        <v>262313450</v>
      </c>
      <c r="E32" s="73" t="inlineStr">
        <is>
          <t>Atlas Copco Airpower NV</t>
        </is>
      </c>
      <c r="F32" s="74" t="n">
        <v>46262</v>
      </c>
      <c r="G32" s="75" t="inlineStr">
        <is>
          <t>https://ac-p-ascintranet.azurewebsites.net/OrderCaseTracking/ReturnOrder?orderNr=62313450</t>
        </is>
      </c>
    </row>
    <row r="33" ht="36" customHeight="1">
      <c r="A33" s="76" t="n">
        <v>260216200</v>
      </c>
      <c r="B33" s="77" t="inlineStr">
        <is>
          <t>Eni Energy Netherlands B.V.</t>
        </is>
      </c>
      <c r="C33" s="76" t="inlineStr">
        <is>
          <t>van Wees, M.</t>
        </is>
      </c>
      <c r="D33" s="76" t="n">
        <v>262313382</v>
      </c>
      <c r="E33" s="77" t="inlineStr">
        <is>
          <t>Parker Hannifin B.V.</t>
        </is>
      </c>
      <c r="F33" s="78" t="n">
        <v>46269</v>
      </c>
      <c r="G33" s="77" t="n"/>
    </row>
    <row r="34" ht="36" customHeight="1">
      <c r="A34" s="72" t="n">
        <v>260216442</v>
      </c>
      <c r="B34" s="73" t="inlineStr">
        <is>
          <t>Ministerie van Defensie FABK, Finan. Service Centrum</t>
        </is>
      </c>
      <c r="C34" s="72" t="inlineStr">
        <is>
          <t>van Wees, M.</t>
        </is>
      </c>
      <c r="D34" s="72" t="n">
        <v>262313461</v>
      </c>
      <c r="E34" s="73" t="inlineStr">
        <is>
          <t>Gardner Denver Ltd</t>
        </is>
      </c>
      <c r="F34" s="74" t="n">
        <v>46301</v>
      </c>
      <c r="G34" s="73" t="n"/>
    </row>
    <row r="35" ht="36" customHeight="1">
      <c r="A35" s="76" t="n">
        <v>260215768</v>
      </c>
      <c r="B35" s="77" t="inlineStr">
        <is>
          <t>AEB Exploitatie B.V.</t>
        </is>
      </c>
      <c r="C35" s="76" t="inlineStr">
        <is>
          <t>van Wees, M.</t>
        </is>
      </c>
      <c r="D35" s="76" t="n">
        <v>262313154</v>
      </c>
      <c r="E35" s="77" t="inlineStr">
        <is>
          <t>Edmac Europe NV</t>
        </is>
      </c>
      <c r="F35" s="78" t="n">
        <v>46262</v>
      </c>
      <c r="G35" s="77" t="n"/>
    </row>
    <row r="36" ht="36" customHeight="1">
      <c r="A36" s="72" t="n">
        <v>260216786</v>
      </c>
      <c r="B36" s="73" t="inlineStr">
        <is>
          <t>HKS Scrap Metals B.V.</t>
        </is>
      </c>
      <c r="C36" s="72" t="inlineStr">
        <is>
          <t>Kempe A.</t>
        </is>
      </c>
      <c r="D36" s="72" t="n">
        <v>262313630</v>
      </c>
      <c r="E36" s="73" t="inlineStr">
        <is>
          <t>GMT International BV</t>
        </is>
      </c>
      <c r="F36" s="74" t="n">
        <v>46272</v>
      </c>
      <c r="G36" s="73" t="n"/>
    </row>
    <row r="37" ht="36" customHeight="1">
      <c r="A37" s="76" t="n">
        <v>260216591</v>
      </c>
      <c r="B37" s="77" t="inlineStr">
        <is>
          <t>Corlido Project Supply BV</t>
        </is>
      </c>
      <c r="C37" s="76" t="inlineStr">
        <is>
          <t>van Wees, M.</t>
        </is>
      </c>
      <c r="D37" s="76" t="n">
        <v>262313589</v>
      </c>
      <c r="E37" s="77" t="inlineStr">
        <is>
          <t>Atlas Copco Airpower NV</t>
        </is>
      </c>
      <c r="F37" s="78" t="n">
        <v>46261</v>
      </c>
      <c r="G37" s="79" t="inlineStr">
        <is>
          <t>https://ac-p-ascintranet.azurewebsites.net/OrderCaseTracking/ReturnOrder?orderNr=62313589</t>
        </is>
      </c>
    </row>
    <row r="38" ht="36" customHeight="1">
      <c r="A38" s="72" t="n">
        <v>260216268</v>
      </c>
      <c r="B38" s="73" t="inlineStr">
        <is>
          <t>N.V. HVC</t>
        </is>
      </c>
      <c r="C38" s="72" t="inlineStr">
        <is>
          <t>Hudepohl W.</t>
        </is>
      </c>
      <c r="D38" s="72" t="n">
        <v>262313407</v>
      </c>
      <c r="E38" s="73" t="inlineStr">
        <is>
          <t>Atlas Copco Airpower NV</t>
        </is>
      </c>
      <c r="F38" s="74" t="n">
        <v>46267</v>
      </c>
      <c r="G38" s="75" t="inlineStr">
        <is>
          <t>https://ac-p-ascintranet.azurewebsites.net/OrderCaseTracking/ReturnOrder?orderNr=62313407</t>
        </is>
      </c>
    </row>
    <row r="39" ht="36" customHeight="1">
      <c r="A39" s="76" t="n">
        <v>260215966</v>
      </c>
      <c r="B39" s="77" t="inlineStr">
        <is>
          <t>Intervet International B.V.</t>
        </is>
      </c>
      <c r="C39" s="76" t="inlineStr">
        <is>
          <t>Hudepohl W.</t>
        </is>
      </c>
      <c r="D39" s="76" t="n">
        <v>262313201</v>
      </c>
      <c r="E39" s="77" t="inlineStr">
        <is>
          <t>Edmac Europe NV</t>
        </is>
      </c>
      <c r="F39" s="78" t="n">
        <v>46267</v>
      </c>
      <c r="G39" s="77" t="n"/>
    </row>
    <row r="40" ht="36" customHeight="1">
      <c r="A40" s="72" t="n">
        <v>260216740</v>
      </c>
      <c r="B40" s="73" t="inlineStr">
        <is>
          <t>Teunis Industrietechniek B.V.</t>
        </is>
      </c>
      <c r="C40" s="72" t="inlineStr">
        <is>
          <t>van Wees, M.</t>
        </is>
      </c>
      <c r="D40" s="72" t="n">
        <v>262313678</v>
      </c>
      <c r="E40" s="73" t="inlineStr">
        <is>
          <t>Atlas Copco Compressors Ned</t>
        </is>
      </c>
      <c r="F40" s="74" t="n">
        <v>46275</v>
      </c>
      <c r="G40" s="73" t="n"/>
    </row>
    <row r="41" ht="36" customHeight="1">
      <c r="A41" s="76" t="n">
        <v>260215595</v>
      </c>
      <c r="B41" s="77" t="inlineStr">
        <is>
          <t>Grasdrogerij Hartog B.V.</t>
        </is>
      </c>
      <c r="C41" s="76" t="inlineStr">
        <is>
          <t>Hudepohl W.</t>
        </is>
      </c>
      <c r="D41" s="76" t="n">
        <v>262313038</v>
      </c>
      <c r="E41" s="77" t="inlineStr">
        <is>
          <t>Dalgakiran Kompresor San. VE Tic.LTD</t>
        </is>
      </c>
      <c r="F41" s="78" t="n">
        <v>46258</v>
      </c>
      <c r="G41" s="77" t="n"/>
    </row>
    <row r="42" ht="36" customHeight="1">
      <c r="A42" s="72" t="n">
        <v>260216585</v>
      </c>
      <c r="B42" s="73" t="inlineStr">
        <is>
          <t>Matthijs B.V.</t>
        </is>
      </c>
      <c r="C42" s="72" t="inlineStr">
        <is>
          <t>Kempe A.</t>
        </is>
      </c>
      <c r="D42" s="72" t="n">
        <v>262313521</v>
      </c>
      <c r="E42" s="73" t="inlineStr">
        <is>
          <t>Edmac Europe NV</t>
        </is>
      </c>
      <c r="F42" s="74" t="n">
        <v>46280</v>
      </c>
      <c r="G42" s="73" t="n"/>
    </row>
    <row r="43" ht="36" customHeight="1">
      <c r="A43" s="76" t="n">
        <v>260216953</v>
      </c>
      <c r="B43" s="77" t="inlineStr">
        <is>
          <t>Ministerie van Defensie FABK, Finan. Service Centrum</t>
        </is>
      </c>
      <c r="C43" s="76" t="inlineStr">
        <is>
          <t>van Wees, M.</t>
        </is>
      </c>
      <c r="D43" s="76" t="n">
        <v>262313706</v>
      </c>
      <c r="E43" s="77" t="inlineStr">
        <is>
          <t>Midland Diving Equipment Ltd</t>
        </is>
      </c>
      <c r="F43" s="78" t="n">
        <v>46279</v>
      </c>
      <c r="G43" s="79" t="inlineStr">
        <is>
          <t>https://www.dhl.com/nl-nl/home/traceren.html?tracking-id=51%203985%201603&amp;submit=1</t>
        </is>
      </c>
    </row>
    <row r="44" ht="36" customHeight="1">
      <c r="A44" s="72" t="n">
        <v>260216740</v>
      </c>
      <c r="B44" s="73" t="inlineStr">
        <is>
          <t>Teunis Industrietechniek B.V.</t>
        </is>
      </c>
      <c r="C44" s="72" t="inlineStr">
        <is>
          <t>van Wees, M.</t>
        </is>
      </c>
      <c r="D44" s="72" t="n">
        <v>262313600</v>
      </c>
      <c r="E44" s="73" t="inlineStr">
        <is>
          <t>Atlas Copco Airpower NV</t>
        </is>
      </c>
      <c r="F44" s="74" t="n">
        <v>46280</v>
      </c>
      <c r="G44" s="75" t="inlineStr">
        <is>
          <t>https://ac-p-ascintranet.azurewebsites.net/OrderCaseTracking/ReturnOrder?orderNr=62313600</t>
        </is>
      </c>
    </row>
    <row r="45" ht="36" customHeight="1">
      <c r="A45" s="76" t="n">
        <v>260216776</v>
      </c>
      <c r="B45" s="77" t="inlineStr">
        <is>
          <t>Exolum Amsterdam B.V.</t>
        </is>
      </c>
      <c r="C45" s="76" t="inlineStr">
        <is>
          <t>Hudepohl W.</t>
        </is>
      </c>
      <c r="D45" s="76" t="n">
        <v>262313619</v>
      </c>
      <c r="E45" s="77" t="inlineStr">
        <is>
          <t>Atlas Copco Airpower NV</t>
        </is>
      </c>
      <c r="F45" s="78" t="n">
        <v>46279</v>
      </c>
      <c r="G45" s="79" t="inlineStr">
        <is>
          <t>https://ac-p-ascintranet.azurewebsites.net/OrderCaseTracking/ReturnOrder?orderNr=62313619</t>
        </is>
      </c>
    </row>
    <row r="46" ht="36" customHeight="1">
      <c r="A46" s="72" t="n">
        <v>260216638</v>
      </c>
      <c r="B46" s="73" t="inlineStr">
        <is>
          <t>W. Heemskerk B.V.</t>
        </is>
      </c>
      <c r="C46" s="72" t="inlineStr">
        <is>
          <t>Hudepohl W.</t>
        </is>
      </c>
      <c r="D46" s="72" t="n">
        <v>262313583</v>
      </c>
      <c r="E46" s="73" t="inlineStr">
        <is>
          <t>Edmac Europe NV</t>
        </is>
      </c>
      <c r="F46" s="74" t="n">
        <v>46280</v>
      </c>
      <c r="G46" s="73" t="n"/>
    </row>
    <row r="47" ht="36" customHeight="1">
      <c r="A47" s="76" t="n">
        <v>260215595</v>
      </c>
      <c r="B47" s="77" t="inlineStr">
        <is>
          <t>Grasdrogerij Hartog B.V.</t>
        </is>
      </c>
      <c r="C47" s="76" t="inlineStr">
        <is>
          <t>Hudepohl W.</t>
        </is>
      </c>
      <c r="D47" s="76" t="n">
        <v>262313762</v>
      </c>
      <c r="E47" s="77" t="inlineStr">
        <is>
          <t>S.W. Hettema &amp; Zn</t>
        </is>
      </c>
      <c r="F47" s="78" t="n">
        <v>46283</v>
      </c>
      <c r="G47" s="77" t="n"/>
    </row>
    <row r="48" ht="36" customHeight="1">
      <c r="A48" s="72" t="n">
        <v>260216157</v>
      </c>
      <c r="B48" s="73" t="inlineStr">
        <is>
          <t>Ardagh Glass Moerdijk B.V.</t>
        </is>
      </c>
      <c r="C48" s="72" t="inlineStr">
        <is>
          <t>van Wees, M.</t>
        </is>
      </c>
      <c r="D48" s="72" t="n">
        <v>262313348</v>
      </c>
      <c r="E48" s="73" t="inlineStr">
        <is>
          <t>Eco International S.r.l.</t>
        </is>
      </c>
      <c r="F48" s="74" t="n">
        <v>46282</v>
      </c>
      <c r="G48" s="73" t="n"/>
    </row>
    <row r="49" ht="36" customHeight="1">
      <c r="A49" s="76" t="n">
        <v>260216938</v>
      </c>
      <c r="B49" s="77" t="inlineStr">
        <is>
          <t>MTEC B.V.</t>
        </is>
      </c>
      <c r="C49" s="76" t="inlineStr">
        <is>
          <t>van Wees, M.</t>
        </is>
      </c>
      <c r="D49" s="76" t="n">
        <v>262313688</v>
      </c>
      <c r="E49" s="77" t="inlineStr">
        <is>
          <t>Edmac Europe NV</t>
        </is>
      </c>
      <c r="F49" s="78" t="n">
        <v>46280</v>
      </c>
      <c r="G49" s="77" t="n"/>
    </row>
    <row r="50" ht="36" customHeight="1">
      <c r="A50" s="72" t="n">
        <v>260216416</v>
      </c>
      <c r="B50" s="73" t="inlineStr">
        <is>
          <t>BFL Bewehrung- und Fertigteilewerk Laar Gmbh</t>
        </is>
      </c>
      <c r="C50" s="72" t="inlineStr">
        <is>
          <t>Vrieling R.H.</t>
        </is>
      </c>
      <c r="D50" s="72" t="n">
        <v>262313789</v>
      </c>
      <c r="E50" s="73" t="inlineStr">
        <is>
          <t>Atlas Copco Airpower NV</t>
        </is>
      </c>
      <c r="F50" s="74" t="n">
        <v>46282</v>
      </c>
      <c r="G50" s="75" t="inlineStr">
        <is>
          <t>https://ac-p-ascintranet.azurewebsites.net/OrderCaseTracking/ReturnOrder?orderNr=62313789</t>
        </is>
      </c>
    </row>
    <row r="51" ht="36" customHeight="1">
      <c r="A51" s="76" t="n">
        <v>260217051</v>
      </c>
      <c r="B51" s="77" t="inlineStr">
        <is>
          <t>Teunis Industrietechniek B.V.</t>
        </is>
      </c>
      <c r="C51" s="76" t="inlineStr">
        <is>
          <t>van Wees, M.</t>
        </is>
      </c>
      <c r="D51" s="76" t="n">
        <v>262313779</v>
      </c>
      <c r="E51" s="77" t="inlineStr">
        <is>
          <t>Atlas Copco Airpower NV</t>
        </is>
      </c>
      <c r="F51" s="78" t="n">
        <v>46287</v>
      </c>
      <c r="G51" s="79" t="inlineStr">
        <is>
          <t>https://ac-p-ascintranet.azurewebsites.net/OrderCaseTracking/ReturnOrder?orderNr=62313779</t>
        </is>
      </c>
    </row>
    <row r="52" ht="36" customHeight="1">
      <c r="A52" s="72" t="n">
        <v>260216948</v>
      </c>
      <c r="B52" s="73" t="inlineStr">
        <is>
          <t>AOC Nederland B.V. / 3410</t>
        </is>
      </c>
      <c r="C52" s="72" t="inlineStr">
        <is>
          <t>Vrieling R.H.</t>
        </is>
      </c>
      <c r="D52" s="72" t="n">
        <v>262313794</v>
      </c>
      <c r="E52" s="73" t="inlineStr">
        <is>
          <t>Atlas Copco Airpower NV</t>
        </is>
      </c>
      <c r="F52" s="74" t="n">
        <v>46282</v>
      </c>
      <c r="G52" s="75" t="inlineStr">
        <is>
          <t>https://ac-p-ascintranet.azurewebsites.net/OrderCaseTracking/ReturnOrder?orderNr=62313794</t>
        </is>
      </c>
    </row>
    <row r="53" ht="36" customHeight="1">
      <c r="A53" s="76" t="n">
        <v>260214572</v>
      </c>
      <c r="B53" s="77" t="inlineStr">
        <is>
          <t>Schulte &amp; Lestraden B.V.</t>
        </is>
      </c>
      <c r="C53" s="76" t="inlineStr">
        <is>
          <t>-Geen verkoopmedewerker/koper-</t>
        </is>
      </c>
      <c r="D53" s="76" t="n">
        <v>262313519</v>
      </c>
      <c r="E53" s="77" t="inlineStr">
        <is>
          <t>Atlas Copco Airpower NV</t>
        </is>
      </c>
      <c r="F53" s="78" t="n">
        <v>46280</v>
      </c>
      <c r="G53" s="79" t="inlineStr">
        <is>
          <t>deze moet ik claimen</t>
        </is>
      </c>
    </row>
    <row r="54" ht="36" customHeight="1">
      <c r="A54" s="72" t="n">
        <v>260217209</v>
      </c>
      <c r="B54" s="73" t="inlineStr">
        <is>
          <t>Tenaz Energy Netherlands B.V.</t>
        </is>
      </c>
      <c r="C54" s="72" t="inlineStr">
        <is>
          <t>van Wees, M.</t>
        </is>
      </c>
      <c r="D54" s="72" t="n">
        <v>262313864</v>
      </c>
      <c r="E54" s="73" t="inlineStr">
        <is>
          <t>Edmac Europe NV</t>
        </is>
      </c>
      <c r="F54" s="74" t="n">
        <v>46293</v>
      </c>
      <c r="G54" s="73" t="n"/>
    </row>
    <row r="55" ht="36" customHeight="1">
      <c r="A55" s="76" t="n">
        <v>260216875</v>
      </c>
      <c r="B55" s="77" t="inlineStr">
        <is>
          <t>Alert B.V. Veiligheidsmiddelen &amp; Services</t>
        </is>
      </c>
      <c r="C55" s="76" t="inlineStr">
        <is>
          <t>van Wees, M.</t>
        </is>
      </c>
      <c r="D55" s="76" t="n">
        <v>262313635</v>
      </c>
      <c r="E55" s="77" t="inlineStr">
        <is>
          <t>Factair Ltd</t>
        </is>
      </c>
      <c r="F55" s="78" t="n">
        <v>46290</v>
      </c>
      <c r="G55" s="77" t="n"/>
    </row>
    <row r="56" ht="36" customHeight="1">
      <c r="A56" s="72" t="n">
        <v>260217032</v>
      </c>
      <c r="B56" s="73" t="inlineStr">
        <is>
          <t>MSN Aftersales</t>
        </is>
      </c>
      <c r="C56" s="72" t="inlineStr">
        <is>
          <t>van Wees, M.</t>
        </is>
      </c>
      <c r="D56" s="72" t="n">
        <v>262313759</v>
      </c>
      <c r="E56" s="73" t="inlineStr">
        <is>
          <t>Edmac Europe NV</t>
        </is>
      </c>
      <c r="F56" s="74" t="n">
        <v>46290</v>
      </c>
      <c r="G56" s="73" t="n"/>
    </row>
    <row r="57" ht="36" customHeight="1">
      <c r="A57" s="76" t="n">
        <v>260216987</v>
      </c>
      <c r="B57" s="77" t="inlineStr">
        <is>
          <t>Royal Huisman Shipyard B.V.</t>
        </is>
      </c>
      <c r="C57" s="76" t="inlineStr">
        <is>
          <t>van Wees, M.</t>
        </is>
      </c>
      <c r="D57" s="76" t="n">
        <v>262313743</v>
      </c>
      <c r="E57" s="77" t="inlineStr">
        <is>
          <t>Edmac Europe NV</t>
        </is>
      </c>
      <c r="F57" s="78" t="n">
        <v>46290</v>
      </c>
      <c r="G57" s="77" t="n"/>
    </row>
    <row r="58" ht="36" customHeight="1">
      <c r="A58" s="72" t="n">
        <v>260216591</v>
      </c>
      <c r="B58" s="73" t="inlineStr">
        <is>
          <t>Corlido Project Supply BV</t>
        </is>
      </c>
      <c r="C58" s="72" t="inlineStr">
        <is>
          <t>van Wees, M.</t>
        </is>
      </c>
      <c r="D58" s="72" t="n">
        <v>262313553</v>
      </c>
      <c r="E58" s="73" t="inlineStr">
        <is>
          <t>Atlas Copco Airpower NV</t>
        </is>
      </c>
      <c r="F58" s="74" t="n">
        <v>46297</v>
      </c>
      <c r="G58" s="75" t="inlineStr">
        <is>
          <t>https://ac-p-ascintranet.azurewebsites.net/OrderCaseTracking/ReturnOrder?orderNr=62313553</t>
        </is>
      </c>
    </row>
    <row r="59" ht="36" customHeight="1">
      <c r="A59" s="76" t="n">
        <v>260216740</v>
      </c>
      <c r="B59" s="77" t="inlineStr">
        <is>
          <t>Teunis Industrietechniek B.V.</t>
        </is>
      </c>
      <c r="C59" s="76" t="inlineStr">
        <is>
          <t>van Wees, M.</t>
        </is>
      </c>
      <c r="D59" s="76" t="n">
        <v>262313599</v>
      </c>
      <c r="E59" s="77" t="inlineStr">
        <is>
          <t>Edmac Europe NV</t>
        </is>
      </c>
      <c r="F59" s="78" t="n">
        <v>46290</v>
      </c>
      <c r="G59" s="79" t="inlineStr">
        <is>
          <t>https://ac-p-ascintranet.azurewebsites.net/OrderCaseTracking/ReturnOrder?orderNr=62313599</t>
        </is>
      </c>
    </row>
    <row r="60" ht="36" customHeight="1">
      <c r="A60" s="72" t="n">
        <v>260217227</v>
      </c>
      <c r="B60" s="73" t="inlineStr">
        <is>
          <t>Mccain Foods Holland B.V.</t>
        </is>
      </c>
      <c r="C60" s="72" t="inlineStr">
        <is>
          <t>van Wees, M.</t>
        </is>
      </c>
      <c r="D60" s="72" t="n">
        <v>262313872</v>
      </c>
      <c r="E60" s="73" t="inlineStr">
        <is>
          <t>Atlas Copco Airpower NV</t>
        </is>
      </c>
      <c r="F60" s="74" t="n">
        <v>46293</v>
      </c>
      <c r="G60" s="75" t="inlineStr">
        <is>
          <t>https://ac-p-ascintranet.azurewebsites.net/OrderCaseTracking/ReturnOrder?orderNr=62313872</t>
        </is>
      </c>
    </row>
    <row r="61" ht="36" customHeight="1">
      <c r="A61" s="76" t="n">
        <v>260216577</v>
      </c>
      <c r="B61" s="77" t="inlineStr">
        <is>
          <t>Teunis Industrietechniek B.V.</t>
        </is>
      </c>
      <c r="C61" s="76" t="inlineStr">
        <is>
          <t>van Wees, M.</t>
        </is>
      </c>
      <c r="D61" s="76" t="n">
        <v>262313502</v>
      </c>
      <c r="E61" s="77" t="inlineStr">
        <is>
          <t>Atlas Copco Airpower NV</t>
        </is>
      </c>
      <c r="F61" s="78" t="n">
        <v>46295</v>
      </c>
      <c r="G61" s="79" t="inlineStr">
        <is>
          <t>https://ac-p-ascintranet.azurewebsites.net/OrderCaseTracking/ReturnOrder?orderNr=62313502</t>
        </is>
      </c>
    </row>
    <row r="62" ht="36" customHeight="1">
      <c r="A62" s="72" t="n">
        <v>260216759</v>
      </c>
      <c r="B62" s="73" t="inlineStr">
        <is>
          <t>Ketjen Netherlands B.V.</t>
        </is>
      </c>
      <c r="C62" s="72" t="inlineStr">
        <is>
          <t>van Wees, M.</t>
        </is>
      </c>
      <c r="D62" s="72" t="n">
        <v>262313597</v>
      </c>
      <c r="E62" s="73" t="inlineStr">
        <is>
          <t>Edmac Europe NV</t>
        </is>
      </c>
      <c r="F62" s="74" t="n">
        <v>46295</v>
      </c>
      <c r="G62" s="75" t="inlineStr">
        <is>
          <t>https://ac-p-ascintranet.azurewebsites.net/OrderCaseTracking/ReturnOrder?orderNr=62313597</t>
        </is>
      </c>
    </row>
    <row r="63" ht="36" customHeight="1">
      <c r="A63" s="76" t="n">
        <v>260217261</v>
      </c>
      <c r="B63" s="77" t="n"/>
      <c r="C63" s="76" t="n"/>
      <c r="D63" s="76" t="n">
        <v>262313893</v>
      </c>
      <c r="E63" s="77" t="inlineStr">
        <is>
          <t>Itsme BV</t>
        </is>
      </c>
      <c r="F63" s="78" t="n">
        <v>46301</v>
      </c>
      <c r="G63" s="77" t="n"/>
    </row>
    <row r="64" ht="36" customHeight="1">
      <c r="A64" s="72" t="n">
        <v>260217328</v>
      </c>
      <c r="B64" s="73" t="inlineStr">
        <is>
          <t>Volharding Shipping AG</t>
        </is>
      </c>
      <c r="C64" s="72" t="inlineStr">
        <is>
          <t>Hudepohl W.</t>
        </is>
      </c>
      <c r="D64" s="72" t="n">
        <v>262313940</v>
      </c>
      <c r="E64" s="73" t="inlineStr">
        <is>
          <t>Parker Hannifin B.V.</t>
        </is>
      </c>
      <c r="F64" s="74" t="n">
        <v>46303</v>
      </c>
      <c r="G64" s="73" t="n"/>
    </row>
    <row r="65" ht="36" customHeight="1">
      <c r="A65" s="76" t="n">
        <v>260216228</v>
      </c>
      <c r="B65" s="77" t="inlineStr">
        <is>
          <t>RET N.V.</t>
        </is>
      </c>
      <c r="C65" s="76" t="inlineStr">
        <is>
          <t>van Wees, M.</t>
        </is>
      </c>
      <c r="D65" s="76" t="n">
        <v>262313931</v>
      </c>
      <c r="E65" s="77" t="inlineStr">
        <is>
          <t>Edmac Europe NV</t>
        </is>
      </c>
      <c r="F65" s="78" t="n">
        <v>46303</v>
      </c>
      <c r="G65" s="79" t="inlineStr">
        <is>
          <t>https://ac-p-ascintranet.azurewebsites.net/OrderCaseTracking/ReturnOrder?orderNr=62313931</t>
        </is>
      </c>
    </row>
    <row r="66" ht="36" customHeight="1">
      <c r="A66" s="72" t="n">
        <v>260216591</v>
      </c>
      <c r="B66" s="73" t="inlineStr">
        <is>
          <t>Corlido Project Supply BV</t>
        </is>
      </c>
      <c r="C66" s="72" t="inlineStr">
        <is>
          <t>van Wees, M.</t>
        </is>
      </c>
      <c r="D66" s="72" t="n">
        <v>262313553</v>
      </c>
      <c r="E66" s="73" t="inlineStr">
        <is>
          <t>Atlas Copco Airpower NV</t>
        </is>
      </c>
      <c r="F66" s="74" t="n">
        <v>46297</v>
      </c>
      <c r="G66" s="75" t="inlineStr">
        <is>
          <t>https://ac-p-ascintranet.azurewebsites.net/OrderCaseTracking/ReturnOrder?orderNr=62313553</t>
        </is>
      </c>
    </row>
    <row r="67" ht="36" customHeight="1">
      <c r="A67" s="76" t="n">
        <v>260215613</v>
      </c>
      <c r="B67" s="77" t="inlineStr">
        <is>
          <t>ESD-SIC B.V.</t>
        </is>
      </c>
      <c r="C67" s="76" t="inlineStr">
        <is>
          <t>van Wees, M.</t>
        </is>
      </c>
      <c r="D67" s="76" t="n">
        <v>262313048</v>
      </c>
      <c r="E67" s="77" t="inlineStr">
        <is>
          <t>Snijder Filtertechniek B.V.</t>
        </is>
      </c>
      <c r="F67" s="78" t="n">
        <v>46296</v>
      </c>
      <c r="G67" s="77" t="n"/>
    </row>
    <row r="68" ht="36" customHeight="1">
      <c r="A68" s="72" t="n">
        <v>260217327</v>
      </c>
      <c r="B68" s="73" t="inlineStr">
        <is>
          <t>HKS Scrap Metals B.V.</t>
        </is>
      </c>
      <c r="C68" s="72" t="inlineStr">
        <is>
          <t>Hudepohl W.</t>
        </is>
      </c>
      <c r="D68" s="72" t="n">
        <v>262313969</v>
      </c>
      <c r="E68" s="73" t="inlineStr">
        <is>
          <t>Parker Hannifin B.V.</t>
        </is>
      </c>
      <c r="F68" s="74" t="n">
        <v>46310</v>
      </c>
      <c r="G68" s="73" t="n"/>
    </row>
    <row r="69" ht="36" customHeight="1">
      <c r="A69" s="76" t="n">
        <v>260217415</v>
      </c>
      <c r="B69" s="77" t="inlineStr">
        <is>
          <t>HKS Scrap Metals B.V.</t>
        </is>
      </c>
      <c r="C69" s="76" t="inlineStr">
        <is>
          <t>Hudepohl W.</t>
        </is>
      </c>
      <c r="D69" s="76" t="n">
        <v>262313984</v>
      </c>
      <c r="E69" s="77" t="inlineStr">
        <is>
          <t>Dalgakiran Kompresor San. VE Tic.LTD</t>
        </is>
      </c>
      <c r="F69" s="78" t="n">
        <v>46303</v>
      </c>
      <c r="G69" s="79" t="inlineStr">
        <is>
          <t>https://mydhl.express.dhl/nl/en/tracking.html#/results?id=2286629962</t>
        </is>
      </c>
    </row>
    <row r="70" ht="36" customHeight="1">
      <c r="A70" s="72" t="n">
        <v>260217453</v>
      </c>
      <c r="B70" s="73" t="inlineStr">
        <is>
          <t>N.V. HVC</t>
        </is>
      </c>
      <c r="C70" s="72" t="inlineStr">
        <is>
          <t>Hudepohl W.</t>
        </is>
      </c>
      <c r="D70" s="72" t="n">
        <v>262314004</v>
      </c>
      <c r="E70" s="73" t="inlineStr">
        <is>
          <t>Atlas Copco Airpower NV</t>
        </is>
      </c>
      <c r="F70" s="74" t="n">
        <v>46300</v>
      </c>
      <c r="G70" s="75" t="inlineStr">
        <is>
          <t>https://ac-p-ascintranet.azurewebsites.net/OrderCaseTracking/ReturnOrder?orderNr=62314004</t>
        </is>
      </c>
    </row>
    <row r="71" ht="36" customHeight="1">
      <c r="A71" s="76" t="n">
        <v>260217515</v>
      </c>
      <c r="B71" s="77" t="inlineStr">
        <is>
          <t>Ministerie van Defensie FABK, Finan. Service Centrum</t>
        </is>
      </c>
      <c r="C71" s="76" t="inlineStr">
        <is>
          <t>van Wees, M.</t>
        </is>
      </c>
      <c r="D71" s="76" t="n">
        <v>262314041</v>
      </c>
      <c r="E71" s="77" t="inlineStr">
        <is>
          <t>Geveke Service Centre</t>
        </is>
      </c>
      <c r="F71" s="78" t="n">
        <v>46308</v>
      </c>
      <c r="G71" s="77" t="n"/>
    </row>
    <row r="72" ht="36" customHeight="1">
      <c r="A72" s="72" t="n">
        <v>260217540</v>
      </c>
      <c r="B72" s="73" t="inlineStr">
        <is>
          <t>Intervet International B.V.</t>
        </is>
      </c>
      <c r="C72" s="72" t="inlineStr">
        <is>
          <t>Kempe A.</t>
        </is>
      </c>
      <c r="D72" s="72" t="n">
        <v>262314082</v>
      </c>
      <c r="E72" s="73" t="inlineStr">
        <is>
          <t>Atlas Copco Airpower NV</t>
        </is>
      </c>
      <c r="F72" s="74" t="n">
        <v>46304</v>
      </c>
      <c r="G72" s="75" t="inlineStr">
        <is>
          <t>https://ac-p-ascintranet.azurewebsites.net/OrderCaseTracking/ReturnOrder?orderNr=62314082</t>
        </is>
      </c>
    </row>
    <row r="73" ht="36" customHeight="1">
      <c r="A73" s="76" t="n">
        <v>260216399</v>
      </c>
      <c r="B73" s="77" t="inlineStr">
        <is>
          <t>Viterra Botlek B.V.</t>
        </is>
      </c>
      <c r="C73" s="76" t="inlineStr">
        <is>
          <t>Kempe A.</t>
        </is>
      </c>
      <c r="D73" s="76" t="n">
        <v>262313821</v>
      </c>
      <c r="E73" s="77" t="inlineStr">
        <is>
          <t>Edmac Europe NV</t>
        </is>
      </c>
      <c r="F73" s="78" t="n">
        <v>46311</v>
      </c>
      <c r="G73" s="79" t="inlineStr">
        <is>
          <t>https://ac-p-ascintranet.azurewebsites.net/OrderCaseTracking/ReturnOrder?orderNr=62313821</t>
        </is>
      </c>
    </row>
    <row r="74" ht="36" customHeight="1">
      <c r="A74" s="72" t="n">
        <v>260216959</v>
      </c>
      <c r="B74" s="73" t="inlineStr">
        <is>
          <t>Sonneborn Refined Product B.V.</t>
        </is>
      </c>
      <c r="C74" s="72" t="inlineStr">
        <is>
          <t>Hudepohl W.</t>
        </is>
      </c>
      <c r="D74" s="72" t="n">
        <v>262313712</v>
      </c>
      <c r="E74" s="73" t="inlineStr">
        <is>
          <t>Edmac Europe NV</t>
        </is>
      </c>
      <c r="F74" s="74" t="n">
        <v>46310</v>
      </c>
      <c r="G74" s="75" t="inlineStr">
        <is>
          <t>https://ac-p-ascintranet.azurewebsites.net/OrderCaseTracking/ReturnOrder?orderNr=62313712</t>
        </is>
      </c>
    </row>
    <row r="75" ht="36" customHeight="1">
      <c r="A75" s="76" t="n">
        <v>260217515</v>
      </c>
      <c r="B75" s="77" t="inlineStr">
        <is>
          <t>Ministerie van Defensie FABK, Finan. Service Centrum</t>
        </is>
      </c>
      <c r="C75" s="76" t="inlineStr">
        <is>
          <t>van Wees, M.</t>
        </is>
      </c>
      <c r="D75" s="76" t="n">
        <v>262314038</v>
      </c>
      <c r="E75" s="77" t="inlineStr">
        <is>
          <t>Factair Ltd</t>
        </is>
      </c>
      <c r="F75" s="78" t="n">
        <v>46318</v>
      </c>
      <c r="G75" s="77" t="n"/>
    </row>
    <row r="76" ht="36" customHeight="1">
      <c r="A76" s="72" t="n">
        <v>260217218</v>
      </c>
      <c r="B76" s="73" t="inlineStr">
        <is>
          <t>Teijin Aramid B.V.</t>
        </is>
      </c>
      <c r="C76" s="72" t="inlineStr">
        <is>
          <t>Vrieling R.H.</t>
        </is>
      </c>
      <c r="D76" s="72" t="n">
        <v>262314178</v>
      </c>
      <c r="E76" s="73" t="inlineStr">
        <is>
          <t>Atlas Copco Airpower NV</t>
        </is>
      </c>
      <c r="F76" s="74" t="n">
        <v>46309</v>
      </c>
      <c r="G76" s="75" t="inlineStr">
        <is>
          <t>https://ac-p-ascintranet.azurewebsites.net/OrderCaseTracking/ReturnOrder?orderNr=62314178</t>
        </is>
      </c>
    </row>
    <row r="77" ht="36" customHeight="1">
      <c r="A77" s="76" t="n">
        <v>260216590</v>
      </c>
      <c r="B77" s="77" t="inlineStr">
        <is>
          <t>Corlido Project Supply BV</t>
        </is>
      </c>
      <c r="C77" s="76" t="inlineStr">
        <is>
          <t>van Wees, M.</t>
        </is>
      </c>
      <c r="D77" s="76" t="n">
        <v>262313554</v>
      </c>
      <c r="E77" s="77" t="inlineStr">
        <is>
          <t>Atlas Copco Airpower NV</t>
        </is>
      </c>
      <c r="F77" s="78" t="n">
        <v>46297</v>
      </c>
      <c r="G77" s="79" t="inlineStr">
        <is>
          <t>https://ac-p-ascintranet.azurewebsites.net/OrderCaseTracking/ReturnOrder?orderNr=62313554</t>
        </is>
      </c>
    </row>
    <row r="78" ht="36" customHeight="1">
      <c r="A78" s="72" t="n">
        <v>260216456</v>
      </c>
      <c r="B78" s="73" t="inlineStr">
        <is>
          <t>European Aerosols</t>
        </is>
      </c>
      <c r="C78" s="72" t="inlineStr">
        <is>
          <t>Vrieling R.H.</t>
        </is>
      </c>
      <c r="D78" s="72" t="n">
        <v>262313510</v>
      </c>
      <c r="E78" s="73" t="inlineStr">
        <is>
          <t>Atlas Copco Airpower NV</t>
        </is>
      </c>
      <c r="F78" s="74" t="n">
        <v>46314</v>
      </c>
      <c r="G78" s="75" t="inlineStr">
        <is>
          <t>https://ac-p-ascintranet.azurewebsites.net/OrderCaseTracking/ReturnOrder?orderNr=62313510</t>
        </is>
      </c>
    </row>
    <row r="79" ht="36" customHeight="1">
      <c r="A79" s="76" t="n">
        <v>260217133</v>
      </c>
      <c r="B79" s="77" t="inlineStr">
        <is>
          <t>GVB Exploitatie B.V.</t>
        </is>
      </c>
      <c r="C79" s="76" t="inlineStr">
        <is>
          <t>van Wees, M.</t>
        </is>
      </c>
      <c r="D79" s="76" t="n">
        <v>262313822</v>
      </c>
      <c r="E79" s="77" t="inlineStr">
        <is>
          <t>Edmac Europe NV</t>
        </is>
      </c>
      <c r="F79" s="78" t="n">
        <v>46314</v>
      </c>
      <c r="G79" s="79" t="inlineStr">
        <is>
          <t>https://ac-p-ascintranet.azurewebsites.net/OrderCaseTracking/ReturnOrder?orderNr=62313822</t>
        </is>
      </c>
    </row>
    <row r="80" ht="36" customHeight="1">
      <c r="A80" s="72" t="n">
        <v>260217578</v>
      </c>
      <c r="B80" s="73" t="inlineStr">
        <is>
          <t>Greenergy Biofuels Amsterdam B.V.</t>
        </is>
      </c>
      <c r="C80" s="72" t="inlineStr">
        <is>
          <t>Hudepohl W.</t>
        </is>
      </c>
      <c r="D80" s="72" t="n">
        <v>262314108</v>
      </c>
      <c r="E80" s="73" t="inlineStr">
        <is>
          <t>Dalgakiran Kompresor San. VE Tic.LTD</t>
        </is>
      </c>
      <c r="F80" s="74" t="n">
        <v>46302</v>
      </c>
      <c r="G80" s="75" t="inlineStr">
        <is>
          <t>https://www.dhl.com/nl-nl/home/traceren.html?tracking-id=6976102383</t>
        </is>
      </c>
    </row>
    <row r="81" ht="36" customHeight="1">
      <c r="A81" s="76" t="n">
        <v>260212076</v>
      </c>
      <c r="B81" s="77" t="inlineStr">
        <is>
          <t>RWE Eemshaven Holding II  B.V.</t>
        </is>
      </c>
      <c r="C81" s="76" t="inlineStr">
        <is>
          <t>Stuiver R.</t>
        </is>
      </c>
      <c r="D81" s="76" t="n">
        <v>262313711</v>
      </c>
      <c r="E81" s="77" t="inlineStr">
        <is>
          <t>Aerzen Nederland B.V.</t>
        </is>
      </c>
      <c r="F81" s="78" t="n">
        <v>46316</v>
      </c>
      <c r="G81" s="77" t="n"/>
    </row>
    <row r="82" ht="36" customHeight="1">
      <c r="A82" s="72" t="inlineStr">
        <is>
          <t xml:space="preserve">260212078 </t>
        </is>
      </c>
      <c r="B82" s="73" t="inlineStr">
        <is>
          <t>RWE Eemshaven Holding II  B.V.</t>
        </is>
      </c>
      <c r="C82" s="72" t="inlineStr">
        <is>
          <t>Stuiver R.</t>
        </is>
      </c>
      <c r="D82" s="72" t="n">
        <v>262313711</v>
      </c>
      <c r="E82" s="73" t="inlineStr">
        <is>
          <t>Aerzen Nederland B.V.</t>
        </is>
      </c>
      <c r="F82" s="74" t="n">
        <v>46316</v>
      </c>
      <c r="G82" s="73" t="n"/>
    </row>
    <row r="83" ht="36" customHeight="1">
      <c r="A83" s="76" t="n">
        <v>260217445</v>
      </c>
      <c r="B83" s="77" t="inlineStr">
        <is>
          <t>N.V. HVC</t>
        </is>
      </c>
      <c r="C83" s="76" t="inlineStr">
        <is>
          <t>van Wees, M.</t>
        </is>
      </c>
      <c r="D83" s="76" t="n">
        <v>262313999</v>
      </c>
      <c r="E83" s="77" t="inlineStr">
        <is>
          <t>Mehrer Compression GmbH</t>
        </is>
      </c>
      <c r="F83" s="78" t="n">
        <v>46315</v>
      </c>
      <c r="G83" s="77" t="n"/>
    </row>
    <row r="84" ht="36" customHeight="1">
      <c r="A84" s="72" t="n">
        <v>260217573</v>
      </c>
      <c r="B84" s="73" t="inlineStr">
        <is>
          <t>Dixstone Netherlands NV</t>
        </is>
      </c>
      <c r="C84" s="72" t="inlineStr">
        <is>
          <t>van Wees, M.</t>
        </is>
      </c>
      <c r="D84" s="72" t="n">
        <v>262314077</v>
      </c>
      <c r="E84" s="73" t="inlineStr">
        <is>
          <t>Atlas Copco Airpower NV</t>
        </is>
      </c>
      <c r="F84" s="74" t="n">
        <v>46307</v>
      </c>
      <c r="G84" s="75" t="inlineStr">
        <is>
          <t>https://ac-p-ascintranet.azurewebsites.net/OrderCaseTracking/ReturnOrder?orderNr=62314077</t>
        </is>
      </c>
    </row>
    <row r="85" ht="36" customHeight="1">
      <c r="A85" s="76" t="n">
        <v>260217482</v>
      </c>
      <c r="B85" s="77" t="inlineStr">
        <is>
          <t>J.G. van der Mey B.V.</t>
        </is>
      </c>
      <c r="C85" s="76" t="inlineStr">
        <is>
          <t>De wit S.</t>
        </is>
      </c>
      <c r="D85" s="76" t="n">
        <v>262314188</v>
      </c>
      <c r="E85" s="77" t="inlineStr">
        <is>
          <t>Atlas Copco Airpower NV</t>
        </is>
      </c>
      <c r="F85" s="78" t="n">
        <v>46314</v>
      </c>
      <c r="G85" s="79" t="inlineStr">
        <is>
          <t>https://ac-p-ascintranet.azurewebsites.net/OrderCaseTracking/ReturnOrder?orderNr=62314188</t>
        </is>
      </c>
    </row>
  </sheetData>
  <autoFilter ref="A1:G85"/>
  <hyperlinks xmlns:r="http://schemas.openxmlformats.org/officeDocument/2006/relationships" xmlns:xr="http://schemas.microsoft.com/office/spreadsheetml/2014/revision">
    <hyperlink ref="G7" r:id="rId1" xr:uid="{A6E1257B-C099-49CE-94AB-8C821F42C94E}"/>
    <hyperlink ref="G11" r:id="rId2" xr:uid="{7C017FFC-F9D9-4D93-877C-85C13699CD02}"/>
    <hyperlink ref="G12" r:id="rId3" xr:uid="{EBBA1CF7-3C90-413C-849A-50283FF6D73B}"/>
    <hyperlink ref="G13" r:id="rId4" xr:uid="{AECD99F7-E830-4EB0-B639-DB2E00506226}"/>
    <hyperlink ref="G14" r:id="rId5" xr:uid="{976D437B-BAE3-4E41-804A-4476C9342480}"/>
    <hyperlink ref="G17" r:id="rId6" xr:uid="{108A0748-C056-4554-B17E-6FDEF0D2DC8A}"/>
    <hyperlink ref="G21" r:id="rId7" xr:uid="{E4C83CCB-FA1E-42B3-B6CD-1FB5B2FF6AD2}"/>
    <hyperlink ref="G24" r:id="rId8" xr:uid="{8317F3E8-601D-4A6B-905C-A9C15DE5F29C}"/>
    <hyperlink ref="G31" r:id="rId9" xr:uid="{1037B423-B84A-418F-8FDA-520E7DF3ECD9}"/>
    <hyperlink ref="G32" r:id="rId10" xr:uid="{1426E42C-7CEB-42A4-A1DF-1B34921CFD2C}"/>
    <hyperlink ref="G37" r:id="rId11" xr:uid="{020B776C-FA4D-4483-BACD-AB99ECAFC7A9}"/>
    <hyperlink ref="G38" r:id="rId12" xr:uid="{C70795B3-A5B9-48E2-AB08-A78B7E23ED6F}"/>
    <hyperlink ref="G43" r:id="rId13" xr:uid="{394E4388-AC0B-4B1E-8C6B-06AB3F51781B}"/>
    <hyperlink ref="G44" r:id="rId14" xr:uid="{9C9BEE37-BAD9-4589-B6EE-4BE67B9931EA}"/>
    <hyperlink ref="G45" r:id="rId15" xr:uid="{29818285-6ECC-4597-B46A-4FAC10A29FF7}"/>
    <hyperlink ref="G50" r:id="rId16" xr:uid="{F6D2CBE4-1D4E-4B59-8657-2BAD37986B13}"/>
    <hyperlink ref="G51" r:id="rId17" xr:uid="{4B05B86C-51DE-4CE9-9149-127A51E3529C}"/>
    <hyperlink ref="G52" r:id="rId18" xr:uid="{A0C8E02D-D875-4F1A-8C9F-C032054BC67E}"/>
    <hyperlink ref="G53" r:id="rId19" display="https://ac-p-ascintranet.azurewebsites.net/OrderCaseTracking/ReturnOrder?orderNr=62313519" xr:uid="{35202417-87C2-435B-B4CB-F0C2D3831E2A}"/>
    <hyperlink ref="G58" r:id="rId20" xr:uid="{78DF43B1-F317-4906-9B4B-879910B5E9F6}"/>
    <hyperlink ref="G59" r:id="rId21" xr:uid="{74134DA0-B87F-48A8-9C0C-381A734CF540}"/>
    <hyperlink ref="G60" r:id="rId22" xr:uid="{DB267B07-4C4F-4DDD-B8E9-3EAE1CDA6C88}"/>
    <hyperlink ref="G61" r:id="rId23" xr:uid="{87BE3FFB-1AB3-4B97-87A3-C95160EF6FBA}"/>
    <hyperlink ref="G62" r:id="rId24" xr:uid="{2FC51E9B-2CCD-464F-B90C-6BE65A64FA5B}"/>
    <hyperlink ref="G65" r:id="rId25" xr:uid="{85E834B8-D523-4BC3-AA01-3DB7792D17F5}"/>
    <hyperlink ref="G66" r:id="rId26" xr:uid="{71371E12-DBB0-4F6E-85EE-5D5072DCD3E0}"/>
    <hyperlink ref="G69" r:id="rId27" location="/results?id=2286629962" xr:uid="{791D5DB3-E43E-4971-AB65-2C42E6EC7027}"/>
    <hyperlink ref="G70" r:id="rId28" xr:uid="{A60347B5-22DA-43D8-A448-40AD12D81E49}"/>
    <hyperlink ref="G72" r:id="rId29" xr:uid="{B1DF395C-5224-4104-B837-F61E245B44C6}"/>
    <hyperlink ref="G73" r:id="rId30" xr:uid="{8B9CF2D6-91A0-4FA2-A2EE-4628D550A09F}"/>
    <hyperlink ref="G74" r:id="rId31" xr:uid="{5C91E98B-2674-4742-9083-3A8D5F3940DF}"/>
    <hyperlink ref="G76" r:id="rId32" xr:uid="{344D26DF-1372-42AC-9C0C-F7D32969451E}"/>
    <hyperlink ref="G77" r:id="rId33" xr:uid="{AECEB7F3-5A4A-4978-8713-A46840CD5353}"/>
    <hyperlink ref="G78" r:id="rId34" xr:uid="{127855A5-82B9-4961-9CB4-75ACDAB9B446}"/>
    <hyperlink ref="G79" r:id="rId35" xr:uid="{99F67D5D-A5A7-4FB3-8A98-313E5A97DB2A}"/>
    <hyperlink ref="G80" r:id="rId36" xr:uid="{2F1AF72C-75DF-4EE5-B566-21AD121E011D}"/>
    <hyperlink ref="G84" r:id="rId37" xr:uid="{1D88E884-A08C-4E4C-9D95-795862F259CC}"/>
    <hyperlink ref="G85" r:id="rId38" xr:uid="{4808B4A2-0FDF-4456-9D1B-26019B478006}"/>
  </hyperlinks>
  <printOptions horizontalCentered="1"/>
  <pageMargins left="0.7" right="0.7" top="0.75" bottom="0.75" header="0.3" footer="0.3"/>
  <headerFooter>
    <oddHeader/>
    <oddFooter>&amp;CMVW | Leveringen&amp;RPagina &amp;P van &amp;N</oddFooter>
    <evenHeader/>
    <evenFooter/>
    <firstHeader/>
    <firstFooter/>
  </headerFooter>
</worksheet>
</file>

<file path=xl/worksheets/sheet5.xml><?xml version="1.0" encoding="utf-8"?>
<worksheet xmlns="http://schemas.openxmlformats.org/spreadsheetml/2006/main">
  <sheetPr>
    <tabColor rgb="00007F82"/>
    <outlinePr summaryBelow="1" summaryRight="1"/>
    <pageSetUpPr fitToPage="1"/>
  </sheetPr>
  <dimension ref="A1:L40"/>
  <sheetViews>
    <sheetView showGridLines="0" zoomScale="95" workbookViewId="0">
      <selection activeCell="A1" sqref="A1"/>
    </sheetView>
  </sheetViews>
  <sheetFormatPr baseColWidth="8" defaultRowHeight="15"/>
  <cols>
    <col width="12" customWidth="1" min="1" max="1"/>
    <col width="12" customWidth="1" min="2" max="2"/>
    <col width="12" customWidth="1" min="3" max="3"/>
    <col width="12" customWidth="1" min="4" max="4"/>
    <col width="12" customWidth="1" min="5" max="5"/>
    <col width="12" customWidth="1" min="6" max="6"/>
    <col width="12" customWidth="1" min="7" max="7"/>
    <col width="12" customWidth="1" min="8" max="8"/>
    <col width="12" customWidth="1" min="9" max="9"/>
    <col width="12" customWidth="1" min="10" max="10"/>
    <col width="12" customWidth="1" min="11" max="11"/>
    <col width="12" customWidth="1" min="12" max="12"/>
  </cols>
  <sheetData>
    <row r="1" ht="25" customHeight="1">
      <c r="A1" s="85" t="inlineStr">
        <is>
          <t>MVW  /  OPERATIONS</t>
        </is>
      </c>
      <c r="B1" s="86" t="n"/>
      <c r="C1" s="86" t="n"/>
      <c r="D1" s="86" t="n"/>
      <c r="E1" s="86" t="n"/>
      <c r="F1" s="86" t="n"/>
      <c r="G1" s="86" t="n"/>
      <c r="H1" s="86" t="n"/>
      <c r="I1" s="86" t="n"/>
      <c r="J1" s="86" t="n"/>
      <c r="K1" s="86" t="n"/>
      <c r="L1" s="86" t="n"/>
    </row>
    <row r="2" ht="25" customHeight="1">
      <c r="A2" s="87" t="inlineStr">
        <is>
          <t>Leveringen</t>
        </is>
      </c>
      <c r="B2" s="86" t="n"/>
      <c r="C2" s="86" t="n"/>
      <c r="D2" s="86" t="n"/>
      <c r="E2" s="86" t="n"/>
      <c r="F2" s="86" t="n"/>
      <c r="G2" s="86" t="n"/>
      <c r="H2" s="86" t="n"/>
      <c r="I2" s="86" t="n"/>
      <c r="J2" s="86" t="n"/>
      <c r="K2" s="86" t="n"/>
      <c r="L2" s="86" t="n"/>
    </row>
    <row r="3" ht="25" customHeight="1">
      <c r="A3" s="86" t="n"/>
      <c r="B3" s="86" t="n"/>
      <c r="C3" s="86" t="n"/>
      <c r="D3" s="86" t="n"/>
      <c r="E3" s="86" t="n"/>
      <c r="F3" s="86" t="n"/>
      <c r="G3" s="86" t="n"/>
      <c r="H3" s="86" t="n"/>
      <c r="I3" s="86" t="n"/>
      <c r="J3" s="86" t="n"/>
      <c r="K3" s="86" t="n"/>
      <c r="L3" s="86" t="n"/>
    </row>
    <row r="4" ht="25" customHeight="1">
      <c r="A4" s="88" t="inlineStr">
        <is>
          <t>Grip op orders, leverdata en opvolging</t>
        </is>
      </c>
      <c r="B4" s="86" t="n"/>
      <c r="C4" s="86" t="n"/>
      <c r="D4" s="86" t="n"/>
      <c r="E4" s="86" t="n"/>
      <c r="F4" s="86" t="n"/>
      <c r="G4" s="86" t="n"/>
      <c r="H4" s="86" t="n"/>
      <c r="I4" s="86" t="n"/>
      <c r="J4" s="86" t="n"/>
      <c r="K4" s="86" t="n"/>
      <c r="L4" s="86" t="n"/>
    </row>
    <row r="5" ht="25" customHeight="1">
      <c r="A5" s="89" t="n"/>
      <c r="B5" s="89" t="n"/>
      <c r="C5" s="89" t="n"/>
      <c r="D5" s="89" t="n"/>
      <c r="E5" s="89" t="n"/>
      <c r="F5" s="89" t="n"/>
      <c r="G5" s="89" t="n"/>
      <c r="H5" s="89" t="n"/>
      <c r="I5" s="89" t="n"/>
      <c r="J5" s="89" t="n"/>
      <c r="K5" s="89" t="n"/>
      <c r="L5" s="89" t="n"/>
    </row>
    <row r="6" ht="25" customHeight="1">
      <c r="A6" s="90" t="inlineStr">
        <is>
          <t>WERKOVERZICHT</t>
        </is>
      </c>
      <c r="J6" s="91">
        <f>TODAY()</f>
        <v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46317</v>
      </c>
    </row>
    <row r="7" ht="25" customHeight="1">
      <c r="A7" s="92" t="inlineStr">
        <is>
          <t>Orders in overzicht</t>
        </is>
      </c>
      <c r="B7" s="93" t="n"/>
      <c r="C7" s="93" t="n"/>
      <c r="D7" s="92" t="inlineStr">
        <is>
          <t>Leverdatum verstreken</t>
        </is>
      </c>
      <c r="E7" s="93" t="n"/>
      <c r="F7" s="93" t="n"/>
      <c r="G7" s="92" t="inlineStr">
        <is>
          <t>Vandaag t/m 7 dagen</t>
        </is>
      </c>
      <c r="H7" s="93" t="n"/>
      <c r="I7" s="93" t="n"/>
      <c r="J7" s="92" t="inlineStr">
        <is>
          <t>Datum ontbreekt / tekst</t>
        </is>
      </c>
      <c r="K7" s="93" t="n"/>
      <c r="L7" s="93" t="n"/>
    </row>
    <row r="8" ht="25" customHeight="1">
      <c r="A8" s="94">
        <f>COUNTIF(Orders!$D$2:$D$10000,"&lt;&gt;")</f>
        <v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24</v>
      </c>
      <c r="B8" s="93" t="n"/>
      <c r="C8" s="93" t="n"/>
      <c r="D8" s="95">
        <f>COUNTIFS(Orders!$D$2:$D$10000,"&lt;&gt;",Orders!$F$2:$F$10000,"&gt;0",Orders!$F$2:$F$10000,"&lt;"&amp;TODAY())</f>
        <v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6</v>
      </c>
      <c r="E8" s="93" t="n"/>
      <c r="F8" s="93" t="n"/>
      <c r="G8" s="96">
        <f>COUNTIFS(Orders!$D$2:$D$10000,"&lt;&gt;",Orders!$F$2:$F$10000,"&gt;="&amp;TODAY(),Orders!$F$2:$F$10000,"&lt;="&amp;TODAY()+7)</f>
        <v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9</v>
      </c>
      <c r="H8" s="93" t="n"/>
      <c r="I8" s="93" t="n"/>
      <c r="J8" s="97">
        <f>COUNTIF(Orders!$D$2:$D$10000,"&lt;&gt;")-SUMPRODUCT(--(Orders!$D$2:$D$10000&lt;&gt;""),--ISNUMBER(Orders!$F$2:$F$10000))</f>
        <v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0</v>
      </c>
      <c r="K8" s="93" t="n"/>
      <c r="L8" s="93" t="n"/>
    </row>
    <row r="9" ht="25" customHeight="1">
      <c r="A9" s="93" t="n"/>
      <c r="B9" s="93" t="n"/>
      <c r="C9" s="93" t="n"/>
      <c r="D9" s="93" t="n"/>
      <c r="E9" s="93" t="n"/>
      <c r="F9" s="93" t="n"/>
      <c r="G9" s="93" t="n"/>
      <c r="H9" s="93" t="n"/>
      <c r="I9" s="93" t="n"/>
      <c r="J9" s="93" t="n"/>
      <c r="K9" s="93" t="n"/>
      <c r="L9" s="93" t="n"/>
    </row>
    <row r="10" ht="25" customHeight="1">
      <c r="A10" s="89" t="n"/>
      <c r="B10" s="89" t="n"/>
      <c r="C10" s="89" t="n"/>
      <c r="D10" s="89" t="n"/>
      <c r="E10" s="89" t="n"/>
      <c r="F10" s="89" t="n"/>
      <c r="G10" s="89" t="n"/>
      <c r="H10" s="89" t="n"/>
      <c r="I10" s="89" t="n"/>
      <c r="J10" s="89" t="n"/>
      <c r="K10" s="89" t="n"/>
      <c r="L10" s="89" t="n"/>
    </row>
    <row r="11" ht="25" customHeight="1">
      <c r="A11" s="90" t="inlineStr">
        <is>
          <t>WERKRUIMTES</t>
        </is>
      </c>
    </row>
    <row r="12" ht="25" customHeight="1">
      <c r="A12" s="98" t="inlineStr">
        <is>
          <t>01   Orders beheren  →</t>
        </is>
      </c>
      <c r="B12" s="99" t="n"/>
      <c r="C12" s="99" t="n"/>
      <c r="D12" s="99" t="n"/>
      <c r="E12" s="99" t="n"/>
      <c r="F12" s="99" t="n"/>
      <c r="G12" s="100" t="inlineStr">
        <is>
          <t>02   Bestellingen bekijken  →</t>
        </is>
      </c>
      <c r="H12" s="86" t="n"/>
      <c r="I12" s="86" t="n"/>
      <c r="J12" s="86" t="n"/>
      <c r="K12" s="86" t="n"/>
      <c r="L12" s="86" t="n"/>
    </row>
    <row r="13" ht="25" customHeight="1">
      <c r="A13" s="99" t="n"/>
      <c r="B13" s="99" t="n"/>
      <c r="C13" s="99" t="n"/>
      <c r="D13" s="99" t="n"/>
      <c r="E13" s="99" t="n"/>
      <c r="F13" s="99" t="n"/>
      <c r="G13" s="86" t="n"/>
      <c r="H13" s="86" t="n"/>
      <c r="I13" s="86" t="n"/>
      <c r="J13" s="86" t="n"/>
      <c r="K13" s="86" t="n"/>
      <c r="L13" s="86" t="n"/>
    </row>
    <row r="14" ht="25" customHeight="1">
      <c r="A14" s="89" t="n"/>
      <c r="B14" s="89" t="n"/>
      <c r="C14" s="89" t="n"/>
      <c r="D14" s="89" t="n"/>
      <c r="E14" s="89" t="n"/>
      <c r="F14" s="89" t="n"/>
      <c r="G14" s="89" t="n"/>
      <c r="H14" s="89" t="n"/>
      <c r="I14" s="89" t="n"/>
      <c r="J14" s="89" t="n"/>
      <c r="K14" s="89" t="n"/>
      <c r="L14" s="89" t="n"/>
    </row>
    <row r="15" ht="25" customHeight="1">
      <c r="A15" s="100" t="inlineStr">
        <is>
          <t>03   Archief raadplegen  →</t>
        </is>
      </c>
      <c r="B15" s="86" t="n"/>
      <c r="C15" s="86" t="n"/>
      <c r="D15" s="86" t="n"/>
      <c r="E15" s="86" t="n"/>
      <c r="F15" s="86" t="n"/>
      <c r="G15" s="100" t="inlineStr">
        <is>
          <t>04   Contactgegevens beheren  →</t>
        </is>
      </c>
      <c r="H15" s="86" t="n"/>
      <c r="I15" s="86" t="n"/>
      <c r="J15" s="86" t="n"/>
      <c r="K15" s="86" t="n"/>
      <c r="L15" s="86" t="n"/>
    </row>
    <row r="16" ht="25" customHeight="1">
      <c r="A16" s="86" t="n"/>
      <c r="B16" s="86" t="n"/>
      <c r="C16" s="86" t="n"/>
      <c r="D16" s="86" t="n"/>
      <c r="E16" s="86" t="n"/>
      <c r="F16" s="86" t="n"/>
      <c r="G16" s="86" t="n"/>
      <c r="H16" s="86" t="n"/>
      <c r="I16" s="86" t="n"/>
      <c r="J16" s="86" t="n"/>
      <c r="K16" s="86" t="n"/>
      <c r="L16" s="86" t="n"/>
    </row>
    <row r="17" ht="25" customHeight="1">
      <c r="A17" s="89" t="n"/>
      <c r="B17" s="89" t="n"/>
      <c r="C17" s="89" t="n"/>
      <c r="D17" s="89" t="n"/>
      <c r="E17" s="89" t="n"/>
      <c r="F17" s="89" t="n"/>
      <c r="G17" s="89" t="n"/>
      <c r="H17" s="89" t="n"/>
      <c r="I17" s="89" t="n"/>
      <c r="J17" s="89" t="n"/>
      <c r="K17" s="89" t="n"/>
      <c r="L17" s="89" t="n"/>
    </row>
    <row r="18" ht="25" customHeight="1">
      <c r="A18" s="90" t="inlineStr">
        <is>
          <t>ZO WERK JE MET LEVERINGEN</t>
        </is>
      </c>
    </row>
    <row r="19" ht="25" customHeight="1">
      <c r="A19" s="101" t="inlineStr">
        <is>
          <t>1   Werk in Orders. Filter op klant, leverancier of leverdatum met de pijltjes in de kopregel.</t>
        </is>
      </c>
      <c r="B19" s="93" t="n"/>
      <c r="C19" s="93" t="n"/>
      <c r="D19" s="93" t="n"/>
      <c r="E19" s="93" t="n"/>
      <c r="F19" s="93" t="n"/>
      <c r="G19" s="93" t="n"/>
      <c r="H19" s="93" t="n"/>
      <c r="I19" s="93" t="n"/>
      <c r="J19" s="93" t="n"/>
      <c r="K19" s="93" t="n"/>
      <c r="L19" s="93" t="n"/>
    </row>
    <row r="20" ht="25" customHeight="1">
      <c r="A20" s="93" t="n"/>
      <c r="B20" s="93" t="n"/>
      <c r="C20" s="93" t="n"/>
      <c r="D20" s="93" t="n"/>
      <c r="E20" s="93" t="n"/>
      <c r="F20" s="93" t="n"/>
      <c r="G20" s="93" t="n"/>
      <c r="H20" s="93" t="n"/>
      <c r="I20" s="93" t="n"/>
      <c r="J20" s="93" t="n"/>
      <c r="K20" s="93" t="n"/>
      <c r="L20" s="93" t="n"/>
    </row>
    <row r="21" ht="25" customHeight="1">
      <c r="A21" s="101" t="inlineStr">
        <is>
          <t>2   Werk de brongegevens op bestellingen bij. Gebruik in Orders de bestaande controleknop om gegevens en actieknoppen te vernieuwen.</t>
        </is>
      </c>
      <c r="B21" s="93" t="n"/>
      <c r="C21" s="93" t="n"/>
      <c r="D21" s="93" t="n"/>
      <c r="E21" s="93" t="n"/>
      <c r="F21" s="93" t="n"/>
      <c r="G21" s="93" t="n"/>
      <c r="H21" s="93" t="n"/>
      <c r="I21" s="93" t="n"/>
      <c r="J21" s="93" t="n"/>
      <c r="K21" s="93" t="n"/>
      <c r="L21" s="93" t="n"/>
    </row>
    <row r="22" ht="25" customHeight="1">
      <c r="A22" s="93" t="n"/>
      <c r="B22" s="93" t="n"/>
      <c r="C22" s="93" t="n"/>
      <c r="D22" s="93" t="n"/>
      <c r="E22" s="93" t="n"/>
      <c r="F22" s="93" t="n"/>
      <c r="G22" s="93" t="n"/>
      <c r="H22" s="93" t="n"/>
      <c r="I22" s="93" t="n"/>
      <c r="J22" s="93" t="n"/>
      <c r="K22" s="93" t="n"/>
      <c r="L22" s="93" t="n"/>
    </row>
    <row r="23" ht="25" customHeight="1">
      <c r="A23" s="101" t="inlineStr">
        <is>
          <t>3   Binnen verplaatst een regel naar archief na bevestiging. E-mail opent een Outlook-concept en archiveert de regel direct; dit betekent niet dat de e-mail is verzonden.</t>
        </is>
      </c>
      <c r="B23" s="93" t="n"/>
      <c r="C23" s="93" t="n"/>
      <c r="D23" s="93" t="n"/>
      <c r="E23" s="93" t="n"/>
      <c r="F23" s="93" t="n"/>
      <c r="G23" s="93" t="n"/>
      <c r="H23" s="93" t="n"/>
      <c r="I23" s="93" t="n"/>
      <c r="J23" s="93" t="n"/>
      <c r="K23" s="93" t="n"/>
      <c r="L23" s="93" t="n"/>
    </row>
    <row r="24" ht="25" customHeight="1">
      <c r="A24" s="93" t="n"/>
      <c r="B24" s="93" t="n"/>
      <c r="C24" s="93" t="n"/>
      <c r="D24" s="93" t="n"/>
      <c r="E24" s="93" t="n"/>
      <c r="F24" s="93" t="n"/>
      <c r="G24" s="93" t="n"/>
      <c r="H24" s="93" t="n"/>
      <c r="I24" s="93" t="n"/>
      <c r="J24" s="93" t="n"/>
      <c r="K24" s="93" t="n"/>
      <c r="L24" s="93" t="n"/>
    </row>
    <row r="25" ht="25" customHeight="1">
      <c r="A25" s="101" t="inlineStr">
        <is>
          <t>4   PO opvolgen gebruikt de bestaande Outlook-koppeling. Controleer ontvanger en inhoud voordat je een bericht verstuurt.</t>
        </is>
      </c>
      <c r="B25" s="93" t="n"/>
      <c r="C25" s="93" t="n"/>
      <c r="D25" s="93" t="n"/>
      <c r="E25" s="93" t="n"/>
      <c r="F25" s="93" t="n"/>
      <c r="G25" s="93" t="n"/>
      <c r="H25" s="93" t="n"/>
      <c r="I25" s="93" t="n"/>
      <c r="J25" s="93" t="n"/>
      <c r="K25" s="93" t="n"/>
      <c r="L25" s="93" t="n"/>
    </row>
    <row r="26" ht="25" customHeight="1">
      <c r="A26" s="93" t="n"/>
      <c r="B26" s="93" t="n"/>
      <c r="C26" s="93" t="n"/>
      <c r="D26" s="93" t="n"/>
      <c r="E26" s="93" t="n"/>
      <c r="F26" s="93" t="n"/>
      <c r="G26" s="93" t="n"/>
      <c r="H26" s="93" t="n"/>
      <c r="I26" s="93" t="n"/>
      <c r="J26" s="93" t="n"/>
      <c r="K26" s="93" t="n"/>
      <c r="L26" s="93" t="n"/>
    </row>
    <row r="27" ht="25" customHeight="1">
      <c r="A27" s="89" t="n"/>
      <c r="B27" s="89" t="n"/>
      <c r="C27" s="89" t="n"/>
      <c r="D27" s="89" t="n"/>
      <c r="E27" s="89" t="n"/>
      <c r="F27" s="89" t="n"/>
      <c r="G27" s="89" t="n"/>
      <c r="H27" s="89" t="n"/>
      <c r="I27" s="89" t="n"/>
      <c r="J27" s="89" t="n"/>
      <c r="K27" s="89" t="n"/>
      <c r="L27" s="89" t="n"/>
    </row>
    <row r="28" ht="25" customHeight="1">
      <c r="A28" s="102" t="inlineStr">
        <is>
          <t>LEGENDA    Rood: verstreken   •   Oranje: 0–3 dagen   •   Geel: 4–7 dagen</t>
        </is>
      </c>
      <c r="B28" s="103" t="n"/>
      <c r="C28" s="103" t="n"/>
      <c r="D28" s="103" t="n"/>
      <c r="E28" s="103" t="n"/>
      <c r="F28" s="103" t="n"/>
      <c r="G28" s="103" t="n"/>
      <c r="H28" s="103" t="n"/>
      <c r="I28" s="103" t="n"/>
      <c r="J28" s="103" t="n"/>
      <c r="K28" s="103" t="n"/>
      <c r="L28" s="103" t="n"/>
    </row>
    <row r="29" ht="25" customHeight="1">
      <c r="A29" s="103" t="n"/>
      <c r="B29" s="103" t="n"/>
      <c r="C29" s="103" t="n"/>
      <c r="D29" s="103" t="n"/>
      <c r="E29" s="103" t="n"/>
      <c r="F29" s="103" t="n"/>
      <c r="G29" s="103" t="n"/>
      <c r="H29" s="103" t="n"/>
      <c r="I29" s="103" t="n"/>
      <c r="J29" s="103" t="n"/>
      <c r="K29" s="103" t="n"/>
      <c r="L29" s="103" t="n"/>
    </row>
    <row r="30" ht="25" customHeight="1">
      <c r="A30" s="89" t="n"/>
      <c r="B30" s="89" t="n"/>
      <c r="C30" s="89" t="n"/>
      <c r="D30" s="89" t="n"/>
      <c r="E30" s="89" t="n"/>
      <c r="F30" s="89" t="n"/>
      <c r="G30" s="89" t="n"/>
      <c r="H30" s="89" t="n"/>
      <c r="I30" s="89" t="n"/>
      <c r="J30" s="89" t="n"/>
      <c r="K30" s="89" t="n"/>
      <c r="L30" s="89" t="n"/>
    </row>
    <row r="31" ht="25" customHeight="1">
      <c r="A31" s="104" t="inlineStr">
        <is>
          <t>Gebruik Excel voor Windows en klassieke Outlook voor de bestaande VBA-functies. Het dashboard werkt met formules. Macro- en Outlook-acties zijn in deze omgeving niet uitgevoerd. Bestaande macro’s kunnen de opmaak bij het openen of vernieuwen opnieuw toepassen.</t>
        </is>
      </c>
    </row>
    <row r="32" ht="25" customHeight="1"/>
    <row r="33" ht="25" customHeight="1"/>
    <row r="34" ht="25" customHeight="1">
      <c r="A34" s="89" t="n"/>
      <c r="B34" s="89" t="n"/>
      <c r="C34" s="89" t="n"/>
      <c r="D34" s="89" t="n"/>
      <c r="E34" s="89" t="n"/>
      <c r="F34" s="89" t="n"/>
      <c r="G34" s="89" t="n"/>
      <c r="H34" s="89" t="n"/>
      <c r="I34" s="89" t="n"/>
      <c r="J34" s="89" t="n"/>
      <c r="K34" s="89" t="n"/>
      <c r="L34" s="89" t="n"/>
    </row>
    <row r="35" ht="25" customHeight="1">
      <c r="A35" s="104" t="inlineStr">
        <is>
          <t>De tellingen betreffen regels in Orders, niet unieke klantorders of aantallen artikelen. Een verstreken datum bewijst geen openstaande levering: controleer ook de actuele bestelstatus. Brongegevens en bestaande macrocode zijn behouden.</t>
        </is>
      </c>
    </row>
    <row r="36" ht="25" customHeight="1"/>
    <row r="37" ht="25" customHeight="1"/>
    <row r="38" ht="25" customHeight="1">
      <c r="A38" s="89" t="n"/>
      <c r="B38" s="89" t="n"/>
      <c r="C38" s="89" t="n"/>
      <c r="D38" s="89" t="n"/>
      <c r="E38" s="89" t="n"/>
      <c r="F38" s="89" t="n"/>
      <c r="G38" s="89" t="n"/>
      <c r="H38" s="89" t="n"/>
      <c r="I38" s="89" t="n"/>
      <c r="J38" s="89" t="n"/>
      <c r="K38" s="89" t="n"/>
      <c r="L38" s="89" t="n"/>
    </row>
    <row r="39" ht="25" customHeight="1">
      <c r="A39" s="89" t="n"/>
      <c r="B39" s="89" t="n"/>
      <c r="C39" s="89" t="n"/>
      <c r="D39" s="89" t="n"/>
      <c r="E39" s="89" t="n"/>
      <c r="F39" s="89" t="n"/>
      <c r="G39" s="89" t="n"/>
      <c r="H39" s="89" t="n"/>
      <c r="I39" s="89" t="n"/>
      <c r="J39" s="89" t="n"/>
      <c r="K39" s="89" t="n"/>
      <c r="L39" s="89" t="n"/>
    </row>
    <row r="40" ht="25" customHeight="1">
      <c r="A40" s="89" t="n"/>
      <c r="B40" s="89" t="n"/>
      <c r="C40" s="89" t="n"/>
      <c r="D40" s="89" t="n"/>
      <c r="E40" s="89" t="n"/>
      <c r="F40" s="89" t="n"/>
      <c r="G40" s="89" t="n"/>
      <c r="H40" s="89" t="n"/>
      <c r="I40" s="89" t="n"/>
      <c r="J40" s="89" t="n"/>
      <c r="K40" s="89" t="n"/>
      <c r="L40" s="89" t="n"/>
    </row>
  </sheetData>
  <mergeCells count="26">
    <mergeCell ref="J6:L6"/>
    <mergeCell ref="A23:L24"/>
    <mergeCell ref="A19:L20"/>
    <mergeCell ref="J8:L9"/>
    <mergeCell ref="A18:L18"/>
    <mergeCell ref="D7:F7"/>
    <mergeCell ref="G12:L13"/>
    <mergeCell ref="A15:F16"/>
    <mergeCell ref="J7:L7"/>
    <mergeCell ref="A28:L29"/>
    <mergeCell ref="G8:I9"/>
    <mergeCell ref="A4:L4"/>
    <mergeCell ref="A35:L37"/>
    <mergeCell ref="A12:F13"/>
    <mergeCell ref="A25:L26"/>
    <mergeCell ref="G15:L16"/>
    <mergeCell ref="A2:L3"/>
    <mergeCell ref="A11:L11"/>
    <mergeCell ref="A1:L1"/>
    <mergeCell ref="A8:C9"/>
    <mergeCell ref="A31:L33"/>
    <mergeCell ref="A21:L22"/>
    <mergeCell ref="A6:I6"/>
    <mergeCell ref="A7:C7"/>
    <mergeCell ref="G7:I7"/>
    <mergeCell ref="D8:F9"/>
  </mergeCells>
  <hyperlinks>
    <hyperlink xmlns:r="http://schemas.openxmlformats.org/officeDocument/2006/relationships" ref="A12" r:id="rId1"/>
    <hyperlink xmlns:r="http://schemas.openxmlformats.org/officeDocument/2006/relationships" ref="G12" r:id="rId2"/>
    <hyperlink xmlns:r="http://schemas.openxmlformats.org/officeDocument/2006/relationships" ref="A15" r:id="rId3"/>
    <hyperlink xmlns:r="http://schemas.openxmlformats.org/officeDocument/2006/relationships" ref="G15" r:id="rId4"/>
  </hyperlinks>
  <pageMargins left="0.75" right="0.75" top="1" bottom="1" header="0.5" footer="0.5"/>
  <pageSetup orientation="portrait" paperSize="9" fitToHeight="1" fitToWidth="1"/>
</worksheet>
</file>

<file path=docMetadata/LabelInfo.xml><?xml version="1.0" encoding="utf-8"?>
<clbl:labelList xmlns:clbl="http://schemas.microsoft.com/office/2020/mipLabelMetadata">
  <clbl:label id="{b8ba78f3-e885-4f72-b1ea-70a5baf6c96c}" enabled="1" method="Privileged" siteId="{556e6b1f-b49d-4278-8baf-db06eeefc8e9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4</vt:i4>
      </vt:variant>
    </vt:vector>
  </HeadingPairs>
  <TitlesOfParts>
    <vt:vector size="4" baseType="lpstr">
      <vt:lpstr>Orders</vt:lpstr>
      <vt:lpstr>bestellingen</vt:lpstr>
      <vt:lpstr>Data</vt:lpstr>
      <vt:lpstr>archief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Max van Wees</dc:creator>
  <cp:lastModifiedBy>Max van Wees</cp:lastModifiedBy>
  <dcterms:created xsi:type="dcterms:W3CDTF">2026-07-31T06:45:24Z</dcterms:created>
  <dcterms:modified xsi:type="dcterms:W3CDTF">2026-10-22T06:09:48Z</dcterms:modified>
</cp:coreProperties>
</file>